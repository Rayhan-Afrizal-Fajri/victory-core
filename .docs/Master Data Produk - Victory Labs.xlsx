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22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237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136.xml"/>
  <Override ContentType="application/vnd.openxmlformats-officedocument.spreadsheetml.worksheet+xml" PartName="/xl/worksheets/sheet234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245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230.xml"/>
  <Override ContentType="application/vnd.openxmlformats-officedocument.spreadsheetml.worksheet+xml" PartName="/xl/worksheets/sheet82.xml"/>
  <Override ContentType="application/vnd.openxmlformats-officedocument.spreadsheetml.worksheet+xml" PartName="/xl/worksheets/sheet226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221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236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242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225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231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47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19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235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224.xml"/>
  <Override ContentType="application/vnd.openxmlformats-officedocument.spreadsheetml.worksheet+xml" PartName="/xl/worksheets/sheet194.xml"/>
  <Override ContentType="application/vnd.openxmlformats-officedocument.spreadsheetml.worksheet+xml" PartName="/xl/worksheets/sheet228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232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243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238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4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233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44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227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232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240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127.xml"/>
  <Override ContentType="application/vnd.openxmlformats-officedocument.drawing+xml" PartName="/xl/drawings/drawing224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36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239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247.xml"/>
  <Override ContentType="application/vnd.openxmlformats-officedocument.drawing+xml" PartName="/xl/drawings/drawing221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228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231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191.xml"/>
  <Override ContentType="application/vnd.openxmlformats-officedocument.drawing+xml" PartName="/xl/drawings/drawing225.xml"/>
  <Override ContentType="application/vnd.openxmlformats-officedocument.drawing+xml" PartName="/xl/drawings/drawing55.xml"/>
  <Override ContentType="application/vnd.openxmlformats-officedocument.drawing+xml" PartName="/xl/drawings/drawing241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22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235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246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226.xml"/>
  <Override ContentType="application/vnd.openxmlformats-officedocument.drawing+xml" PartName="/xl/drawings/drawing70.xml"/>
  <Override ContentType="application/vnd.openxmlformats-officedocument.drawing+xml" PartName="/xl/drawings/drawing218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0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242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45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234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223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48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243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238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37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44.xml"/>
  <Override ContentType="application/vnd.openxmlformats-officedocument.drawing+xml" PartName="/xl/drawings/drawing227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216.xml"/>
  <Override ContentType="application/vnd.openxmlformats-officedocument.drawing+xml" PartName="/xl/drawings/drawing233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T-Shirt Combed Premium - Sab" sheetId="1" r:id="rId5"/>
    <sheet state="visible" name="2. T-Shirt Combed Reguler - Sab" sheetId="2" r:id="rId6"/>
    <sheet state="visible" name="3. T-Shirt Combed Premium - DTF" sheetId="3" r:id="rId7"/>
    <sheet state="visible" name="4. T-Shirt Combed Reguler - DTF" sheetId="4" r:id="rId8"/>
    <sheet state="visible" name="5. T-Shirt Oversize Combed Prem" sheetId="5" r:id="rId9"/>
    <sheet state="visible" name="6. T-Shirt Oversize Combed Regu" sheetId="6" r:id="rId10"/>
    <sheet state="visible" name="7. T-Shirt Oversize Combed Prem" sheetId="7" r:id="rId11"/>
    <sheet state="visible" name="8. T-Shirt Oversize Combed Regu" sheetId="8" r:id="rId12"/>
    <sheet state="visible" name="9. T-Shirt Boxy Combed Premium " sheetId="9" r:id="rId13"/>
    <sheet state="visible" name="10. T-Shirt Boxy Combed Reguler" sheetId="10" r:id="rId14"/>
    <sheet state="visible" name="11. T-Shirt Boxy Combed Premium" sheetId="11" r:id="rId15"/>
    <sheet state="visible" name="12. T-Shirt Boxy Combed Reguler" sheetId="12" r:id="rId16"/>
    <sheet state="visible" name="13. T-Shirt US Combed Premium -" sheetId="13" r:id="rId17"/>
    <sheet state="visible" name="14. T-Shirt US Combed Reguler -" sheetId="14" r:id="rId18"/>
    <sheet state="visible" name="15. T-Shirt US Combed Premium -" sheetId="15" r:id="rId19"/>
    <sheet state="visible" name="16. T-Shirt US Combed Reguler -" sheetId="16" r:id="rId20"/>
    <sheet state="visible" name="17. T-Shirt LS Combed Premium -" sheetId="17" r:id="rId21"/>
    <sheet state="visible" name="18. T-Shirt LS Combed Reguler -" sheetId="18" r:id="rId22"/>
    <sheet state="visible" name="19. T-Shirt LS Combed Premium -" sheetId="19" r:id="rId23"/>
    <sheet state="visible" name="20. T-Shirt LS Combed Reguler -" sheetId="20" r:id="rId24"/>
    <sheet state="visible" name="21. T-Shirt Raglan SS Combed Pr" sheetId="21" r:id="rId25"/>
    <sheet state="visible" name="22. T-Shirt Raglan SS Combed Re" sheetId="22" r:id="rId26"/>
    <sheet state="visible" name="23. T-Shirt Raglan SS Combed Pr" sheetId="23" r:id="rId27"/>
    <sheet state="visible" name="24. T-Shirt Raglan SS Combed Re" sheetId="24" r:id="rId28"/>
    <sheet state="visible" name="25. T-Shirt Raglan LS Combed Pr" sheetId="25" r:id="rId29"/>
    <sheet state="visible" name="26. T-Shirt Raglan LS Combed Re" sheetId="26" r:id="rId30"/>
    <sheet state="visible" name="27. T-Shirt Raglan LS Combed Pr" sheetId="27" r:id="rId31"/>
    <sheet state="visible" name="28. T-Shirt Raglan LS Combed Re" sheetId="28" r:id="rId32"/>
    <sheet state="visible" name="29. Polo Poli Single SS - Sablo" sheetId="29" r:id="rId33"/>
    <sheet state="visible" name="30. Polo Poli Single SS - DTF" sheetId="30" r:id="rId34"/>
    <sheet state="visible" name="31. Polo Poli Single LS - Sablo" sheetId="31" r:id="rId35"/>
    <sheet state="visible" name="32. Polo Poli Single LS - DTF" sheetId="32" r:id="rId36"/>
    <sheet state="visible" name="33. Jersey Dryfit SS - Full Pri" sheetId="33" r:id="rId37"/>
    <sheet state="visible" name="34. Jersey Dryfit SS Spandex - " sheetId="34" r:id="rId38"/>
    <sheet state="visible" name="35. Jersey Dryfit LS - Full Pri" sheetId="35" r:id="rId39"/>
    <sheet state="visible" name="36. Jersey Dryfit LS Spandex - " sheetId="36" r:id="rId40"/>
    <sheet state="visible" name="37. Jersey Dryfit Raglan SS - F" sheetId="37" r:id="rId41"/>
    <sheet state="visible" name="38. Jersey Dryfit Raglan SS Spa" sheetId="38" r:id="rId42"/>
    <sheet state="visible" name="39. Jersey Dryfit Raglan LS - F" sheetId="39" r:id="rId43"/>
    <sheet state="visible" name="40. Jersey Dryfit Raglan LS Spa" sheetId="40" r:id="rId44"/>
    <sheet state="visible" name="41. Polo Jersey Dryfit - Sublim" sheetId="41" r:id="rId45"/>
    <sheet state="visible" name="42. Polo Jersey Dryfit Spandex " sheetId="42" r:id="rId46"/>
    <sheet state="visible" name="43. Polo Jersey Dryfit LS - Sub" sheetId="43" r:id="rId47"/>
    <sheet state="visible" name="44. Polo Jersey Dryfit Spandex " sheetId="44" r:id="rId48"/>
    <sheet state="visible" name="45. Polo Shirt Combed Premium S" sheetId="45" r:id="rId49"/>
    <sheet state="visible" name="46. Polo Shirt Custom " sheetId="46" r:id="rId50"/>
    <sheet state="visible" name="47. Polo Shirt Combed Premium L" sheetId="47" r:id="rId51"/>
    <sheet state="visible" name="48. Polo Shirt Custom-Bordir" sheetId="48" r:id="rId52"/>
    <sheet state="visible" name="49. Polo Shirt Lacoste Pique Pr" sheetId="49" r:id="rId53"/>
    <sheet state="visible" name="50. Polo Shirt Lacoste Pique Pr" sheetId="50" r:id="rId54"/>
    <sheet state="visible" name="51. Polo Shirt Lacoste Pique Pr" sheetId="51" r:id="rId55"/>
    <sheet state="visible" name="52. Polo Shirt Lacoste Premium " sheetId="52" r:id="rId56"/>
    <sheet state="visible" name="53. Polo Shirt Lacoste Pique Re" sheetId="53" r:id="rId57"/>
    <sheet state="visible" name="54. Polo Shirt Lacoste Pique Re" sheetId="54" r:id="rId58"/>
    <sheet state="visible" name="55. Polo Shirt Lacoste Pique Re" sheetId="55" r:id="rId59"/>
    <sheet state="visible" name="56. Polo Shirt Lacoste Reguler " sheetId="56" r:id="rId60"/>
    <sheet state="visible" name="57. Kemeja Seragam SS DrillTrop" sheetId="57" r:id="rId61"/>
    <sheet state="visible" name="58. Kemeja Seragam SS DrillTrop" sheetId="58" r:id="rId62"/>
    <sheet state="visible" name="59. Kemeja Seragam SS Drill Hea" sheetId="59" r:id="rId63"/>
    <sheet state="visible" name="60. Kemeja Seragam SS Drill Hea" sheetId="60" r:id="rId64"/>
    <sheet state="visible" name="61. Kemeja Seragam SS Toyobo Pr" sheetId="61" r:id="rId65"/>
    <sheet state="visible" name="62. Kemeja Seragam SS Toyobo Pr" sheetId="62" r:id="rId66"/>
    <sheet state="visible" name="63. Kemeja Seragam SS High Twis" sheetId="63" r:id="rId67"/>
    <sheet state="visible" name="64. Kemeja Seragam SS High Twis" sheetId="64" r:id="rId68"/>
    <sheet state="visible" name="65. Kemeja Seragam LS DrillTrop" sheetId="65" r:id="rId69"/>
    <sheet state="visible" name="66. Kemeja Seragam LS DrillTrop" sheetId="66" r:id="rId70"/>
    <sheet state="visible" name="67. Kemeja Seragam LS Drill Hea" sheetId="67" r:id="rId71"/>
    <sheet state="visible" name="68. Kemeja Seragam LS Drill Hea" sheetId="68" r:id="rId72"/>
    <sheet state="visible" name="69. Kemeja Seragam LS Toyobo Pr" sheetId="69" r:id="rId73"/>
    <sheet state="visible" name="70. Kemeja Seragam LS Toyobo Pr" sheetId="70" r:id="rId74"/>
    <sheet state="visible" name="71. Kemeja Seragam LS High Twis" sheetId="71" r:id="rId75"/>
    <sheet state="visible" name="72. Kemeja Seragam LS High Twis" sheetId="72" r:id="rId76"/>
    <sheet state="visible" name="73. Kemeja Seragam SS  Toyobo -" sheetId="73" r:id="rId77"/>
    <sheet state="visible" name="75. Kemeja Seragam SS Twist Mir" sheetId="74" r:id="rId78"/>
    <sheet state="visible" name="76. Kemeja Seragam SS Poly Micr" sheetId="75" r:id="rId79"/>
    <sheet state="visible" name="77. Kemeja Seragam LS Toyobo - " sheetId="76" r:id="rId80"/>
    <sheet state="visible" name="78. Kemeja Seragam LS Twist Mir" sheetId="77" r:id="rId81"/>
    <sheet state="visible" name="79. Kemeja Seragam LS Poly Micr" sheetId="78" r:id="rId82"/>
    <sheet state="visible" name="80. Celana Panjang Sopan DrillT" sheetId="79" r:id="rId83"/>
    <sheet state="visible" name="81. Celana Panjang Sopan DrillT" sheetId="80" r:id="rId84"/>
    <sheet state="visible" name="82. Celana Panjang Sopan High T" sheetId="81" r:id="rId85"/>
    <sheet state="visible" name="83. Celana Panjang Engineering " sheetId="82" r:id="rId86"/>
    <sheet state="visible" name="84. Celana Panjang Sopan Engine" sheetId="83" r:id="rId87"/>
    <sheet state="visible" name="85. Celana Panjang Sopan Engine" sheetId="84" r:id="rId88"/>
    <sheet state="visible" name="86. Celana Pendek DrillTropical" sheetId="85" r:id="rId89"/>
    <sheet state="visible" name="87. Celana Pendek DrillTropical" sheetId="86" r:id="rId90"/>
    <sheet state="visible" name="88. Celana Panjang Olah Raga Di" sheetId="87" r:id="rId91"/>
    <sheet state="visible" name="89. Celana Panjang Olah Raga Ba" sheetId="88" r:id="rId92"/>
    <sheet state="visible" name="90. Celana Pendek Olah Raga Jer" sheetId="89" r:id="rId93"/>
    <sheet state="visible" name="91. Celana Pendek Olah Raga DSP" sheetId="90" r:id="rId94"/>
    <sheet state="visible" name="92. Wearpack Bengkel Drill Bord" sheetId="91" r:id="rId95"/>
    <sheet state="visible" name="93. Wearpack Drill Heavy Duty -" sheetId="92" r:id="rId96"/>
    <sheet state="visible" name="94. Rompi Event Jersey Ekonomis" sheetId="93" r:id="rId97"/>
    <sheet state="visible" name="95. Rompi Lapangan Drill Regule" sheetId="94" r:id="rId98"/>
    <sheet state="visible" name="96.Rompi Lapangan Drill Heavy D" sheetId="95" r:id="rId99"/>
    <sheet state="visible" name="97. Rompi Taslan Bordir 1-2 Tit" sheetId="96" r:id="rId100"/>
    <sheet state="visible" name="98. Rompi Custom Bordir 1-2 tit" sheetId="97" r:id="rId101"/>
    <sheet state="visible" name="99. Rompi + Inner Drill Reguler" sheetId="98" r:id="rId102"/>
    <sheet state="visible" name="100. Rompi + Inner Custom Bordi" sheetId="99" r:id="rId103"/>
    <sheet state="visible" name="101. Rompi+Inner Drill Heavy du" sheetId="100" r:id="rId104"/>
    <sheet state="visible" name="102. Rompi+Inner Taslan Bordir " sheetId="101" r:id="rId105"/>
    <sheet state="visible" name="103 CrewNeck Fleece Premium CVC" sheetId="102" r:id="rId106"/>
    <sheet state="visible" name="104 CrewNeck Fleece CVC Reg Bor" sheetId="103" r:id="rId107"/>
    <sheet state="visible" name="105.Hoodie Fleece Premium Non Z" sheetId="104" r:id="rId108"/>
    <sheet state="visible" name="106.Hoodie Fleece CVC Reg Non Z" sheetId="105" r:id="rId109"/>
    <sheet state="visible" name="107.Hoodie Fleece Premium Zippe" sheetId="106" r:id="rId110"/>
    <sheet state="visible" name="108.Hoodie Fleece Reguler Zippe" sheetId="107" r:id="rId111"/>
    <sheet state="visible" name="109.crew Neck Custom" sheetId="108" r:id="rId112"/>
    <sheet state="visible" name="110. Hoodie Custom" sheetId="109" r:id="rId113"/>
    <sheet state="visible" name="111.Jacket Varsity Premium Flee" sheetId="110" r:id="rId114"/>
    <sheet state="visible" name="112. Jacket Varsity Reguler Fle" sheetId="111" r:id="rId115"/>
    <sheet state="visible" name="113. Jacket Varsity Puma + Inne" sheetId="112" r:id="rId116"/>
    <sheet state="visible" name="114. Jacket Varsity Taslan + In" sheetId="113" r:id="rId117"/>
    <sheet state="visible" name="115. Jacket Parka Puma+ Inner (" sheetId="114" r:id="rId118"/>
    <sheet state="visible" name="116. Jacket Parka Taslan + Inne" sheetId="115" r:id="rId119"/>
    <sheet state="visible" name="117. Jacket Parka Drill + Inner" sheetId="116" r:id="rId120"/>
    <sheet state="visible" name="118. Jacket Parka Drill Heavy D" sheetId="117" r:id="rId121"/>
    <sheet state="visible" name="119. Jacket Parasit KRA Quiltin" sheetId="118" r:id="rId122"/>
    <sheet state="visible" name="120. Jacket Windbreaker Dusky " sheetId="119" r:id="rId123"/>
    <sheet state="visible" name="121. Jacket Windbreaker  Kra" sheetId="120" r:id="rId124"/>
    <sheet state="visible" name="122.Totte Bag Canvas Ekonomis 2" sheetId="121" r:id="rId125"/>
    <sheet state="visible" name="123. Totte Bag Canvas Ekonomis " sheetId="122" r:id="rId126"/>
    <sheet state="visible" name=" 124.Totte Bag Canvas Ekonomis " sheetId="123" r:id="rId127"/>
    <sheet state="visible" name="125.Totte Bag Canvas Premium 23" sheetId="124" r:id="rId128"/>
    <sheet state="visible" name="126. Totte Bag Canvas Premium 2" sheetId="125" r:id="rId129"/>
    <sheet state="visible" name="127.Totte Bag Canvas Premium 33" sheetId="126" r:id="rId130"/>
    <sheet state="visible" name="128. Totte Bag Canvas reguler 2" sheetId="127" r:id="rId131"/>
    <sheet state="visible" name="129. Totte Bag Canvas Reguler 2" sheetId="128" r:id="rId132"/>
    <sheet state="visible" name="129.Totte Bag Canvas Reguler 33" sheetId="129" r:id="rId133"/>
    <sheet state="visible" name="130. Totte Bag Canvas Premium C" sheetId="130" r:id="rId134"/>
    <sheet state="visible" name="131.Totte Bag Canvas Premium CT" sheetId="131" r:id="rId135"/>
    <sheet state="visible" name="132.Totte Bag Canvas Premium CT" sheetId="132" r:id="rId136"/>
    <sheet state="visible" name="134.Totte Bag Canvas Premium Fu" sheetId="133" r:id="rId137"/>
    <sheet state="visible" name="135Totte Bag Canvas Premium RBO" sheetId="134" r:id="rId138"/>
    <sheet state="visible" name="136Totte Bag Canvas Premium RBO" sheetId="135" r:id="rId139"/>
    <sheet state="visible" name="137. Totte Bag Blacu Tebal  23-" sheetId="136" r:id="rId140"/>
    <sheet state="visible" name="138.Totte Bag Blacu Tebal sablo" sheetId="137" r:id="rId141"/>
    <sheet state="visible" name="139.Totte Bag Blacu Tebal sablo" sheetId="138" r:id="rId142"/>
    <sheet state="visible" name="140. Totte Bag Blacu sedang 23-" sheetId="139" r:id="rId143"/>
    <sheet state="visible" name="141.Totte Bag Blacu sedang sabl" sheetId="140" r:id="rId144"/>
    <sheet state="visible" name="142.Totte Bag Blacu sedang sabl" sheetId="141" r:id="rId145"/>
    <sheet state="visible" name="143. Totte Bag Twill 21 23-25x3" sheetId="142" r:id="rId146"/>
    <sheet state="visible" name="144.Totte Bag Twill 21 sablon 2" sheetId="143" r:id="rId147"/>
    <sheet state="visible" name="145.Totte Bag Twill 21 sablon 3" sheetId="144" r:id="rId148"/>
    <sheet state="visible" name="146.Totte Bag Spunbon 23-25x30 " sheetId="145" r:id="rId149"/>
    <sheet state="visible" name="147.Totte Bag Spunbond sablon 2" sheetId="146" r:id="rId150"/>
    <sheet state="visible" name="148.Totte Bag Spunbond sablon 3" sheetId="147" r:id="rId151"/>
    <sheet state="visible" name="149 Totte Bag Spunbond Press Sa" sheetId="148" r:id="rId152"/>
    <sheet state="visible" name="150 Totte Bag Spunbond Press Sa" sheetId="149" r:id="rId153"/>
    <sheet state="visible" name="151 Totte Bag Custom " sheetId="150" r:id="rId154"/>
    <sheet state="visible" name="152 Foldable Bag Pola Reguler D" sheetId="151" r:id="rId155"/>
    <sheet state="visible" name="153 Foldable Bag Pola Reguler D" sheetId="152" r:id="rId156"/>
    <sheet state="visible" name="154 Foldable Bag Pola Reguler D" sheetId="153" r:id="rId157"/>
    <sheet state="visible" name="155 Foldable Bag Pola Reguler D" sheetId="154" r:id="rId158"/>
    <sheet state="visible" name="156 Foldable Bag Pola Tali samp" sheetId="155" r:id="rId159"/>
    <sheet state="visible" name="157 Foldable Bag Pola Tali Samp" sheetId="156" r:id="rId160"/>
    <sheet state="visible" name="158 Foldable Bag Pola Tali Samp" sheetId="157" r:id="rId161"/>
    <sheet state="visible" name="159 Foldable Bag Pola Tali Samp" sheetId="158" r:id="rId162"/>
    <sheet state="visible" name="160 Foldable Bag Pola Tali Bula" sheetId="159" r:id="rId163"/>
    <sheet state="visible" name="161 Foldable Bag Pola Tali Bula" sheetId="160" r:id="rId164"/>
    <sheet state="visible" name="162 Foldable Bag Pola Tali Bula" sheetId="161" r:id="rId165"/>
    <sheet state="visible" name="163 Foldable Bag Pola Tali Bula" sheetId="162" r:id="rId166"/>
    <sheet state="visible" name="164 Foldable Bag Premium JN 28x" sheetId="163" r:id="rId167"/>
    <sheet state="visible" name="165 Foldable Bag Premium JN Reg" sheetId="164" r:id="rId168"/>
    <sheet state="visible" name="166 Foldable Bag Premium JN Reg" sheetId="165" r:id="rId169"/>
    <sheet state="visible" name="167 Foldable Bag Premium JN Reg" sheetId="166" r:id="rId170"/>
    <sheet state="visible" name="168 Foldable Bag Premium JN Tal" sheetId="167" r:id="rId171"/>
    <sheet state="visible" name="169 Foldable Bag Premium JN Tal" sheetId="168" r:id="rId172"/>
    <sheet state="visible" name="170 Foldable Bag Premium JN Tal" sheetId="169" r:id="rId173"/>
    <sheet state="visible" name="171 Foldable Bag Premium JN Tal" sheetId="170" r:id="rId174"/>
    <sheet state="visible" name="172 Foldable Bag Premium JN Tal" sheetId="171" r:id="rId175"/>
    <sheet state="visible" name="173 Foldable Bag Premium JN Tal" sheetId="172" r:id="rId176"/>
    <sheet state="visible" name="174 Foldable Bag Premium JN Tal" sheetId="173" r:id="rId177"/>
    <sheet state="visible" name="175 Foldable Bag Premium JN Tal" sheetId="174" r:id="rId178"/>
    <sheet state="visible" name="176 Foldable Bag Canvas Premium" sheetId="175" r:id="rId179"/>
    <sheet state="visible" name="177 Foldable Bag Canvas Premium" sheetId="176" r:id="rId180"/>
    <sheet state="visible" name="178 Foldable Bag Canvas Premium" sheetId="177" r:id="rId181"/>
    <sheet state="visible" name="179 Foldable Bag Canvas Premium" sheetId="178" r:id="rId182"/>
    <sheet state="visible" name="180 Foldable Bag Costum " sheetId="179" r:id="rId183"/>
    <sheet state="visible" name="181 Pouch Mika Rainbow BlueRed " sheetId="180" r:id="rId184"/>
    <sheet state="visible" name="182 Pouch Mika Rainbow BlueRed " sheetId="181" r:id="rId185"/>
    <sheet state="visible" name="183 Pouch Mika Premium 0.8 Smal" sheetId="182" r:id="rId186"/>
    <sheet state="visible" name="184 Pouch Mika Premium 0.8 Medi" sheetId="183" r:id="rId187"/>
    <sheet state="visible" name="185 Pouch Mika Reguler 0.4 Smal" sheetId="184" r:id="rId188"/>
    <sheet state="visible" name="186 Pouch Mika Reguler 0.4 Medi" sheetId="185" r:id="rId189"/>
    <sheet state="visible" name="187 Pouch Hand Bag Synthetic Le" sheetId="186" r:id="rId190"/>
    <sheet state="visible" name="188 Pouch Hand Bag Parasit Pluf" sheetId="187" r:id="rId191"/>
    <sheet state="visible" name="189 Pouch Hand Bag Cordura Subl" sheetId="188" r:id="rId192"/>
    <sheet state="visible" name="190 Pouch Hand Bag Cordura sabl" sheetId="189" r:id="rId193"/>
    <sheet state="visible" name="191 Pouch Hand Bag Canvas sablo" sheetId="190" r:id="rId194"/>
    <sheet state="visible" name="192 Pouch Hand Bag Canvas Subli" sheetId="191" r:id="rId195"/>
    <sheet state="visible" name="193 Pouch Hand Synthetic Leathe" sheetId="192" r:id="rId196"/>
    <sheet state="visible" name="194 Pouch Hand Bag Parasit fluf" sheetId="193" r:id="rId197"/>
    <sheet state="visible" name="195 Pouch Hand Bag Cordura sabl" sheetId="194" r:id="rId198"/>
    <sheet state="visible" name="196 Pouch Hand Bag Cordura Subl" sheetId="195" r:id="rId199"/>
    <sheet state="visible" name="198 Pouch Hand Bag Canvas Premi" sheetId="196" r:id="rId200"/>
    <sheet state="visible" name="199 Pouch Hand Bag Canvas Premi" sheetId="197" r:id="rId201"/>
    <sheet state="visible" name="200 Pouch Hand Bag Custom" sheetId="198" r:id="rId202"/>
    <sheet state="visible" name="201 Pouch Cordura sablon Small " sheetId="199" r:id="rId203"/>
    <sheet state="visible" name="202 Pouch Cordura sublim Small " sheetId="200" r:id="rId204"/>
    <sheet state="visible" name="203 Pouch Canvas Premium sablon" sheetId="201" r:id="rId205"/>
    <sheet state="visible" name="204 Pouch Canvas Premium Sublim" sheetId="202" r:id="rId206"/>
    <sheet state="visible" name="205 Pouch Canvas Reguler Sablon" sheetId="203" r:id="rId207"/>
    <sheet state="visible" name="206 Pouch Canvas Reguler sublim" sheetId="204" r:id="rId208"/>
    <sheet state="visible" name="207 Pouch Twill 21 Sablon Small" sheetId="205" r:id="rId209"/>
    <sheet state="visible" name="208 Pouch Custom 12x22" sheetId="206" r:id="rId210"/>
    <sheet state="visible" name="209 Pouch Jala Small 12x22" sheetId="207" r:id="rId211"/>
    <sheet state="visible" name="210 Pouch JN Full print Small 1" sheetId="208" r:id="rId212"/>
    <sheet state="visible" name="211 Pouch Cordura Sublim Medium" sheetId="209" r:id="rId213"/>
    <sheet state="visible" name="212 Pouch Canvas Premium Sablon" sheetId="210" r:id="rId214"/>
    <sheet state="visible" name="213 Pouch Canvas Premium Sublim" sheetId="211" r:id="rId215"/>
    <sheet state="visible" name="214 Pouch Canvas reguler Sablon" sheetId="212" r:id="rId216"/>
    <sheet state="visible" name="215 Pouch Canvas reguler Sublim" sheetId="213" r:id="rId217"/>
    <sheet state="visible" name="216 Pouch Twill 21 Sablon Mediu" sheetId="214" r:id="rId218"/>
    <sheet state="visible" name="217 Pouch custom Medium (18x23)" sheetId="215" r:id="rId219"/>
    <sheet state="visible" name="218 Pouch Jala  Medium (18x23)" sheetId="216" r:id="rId220"/>
    <sheet state="visible" name="219 Pouch JN Medium Sublim (18x" sheetId="217" r:id="rId221"/>
    <sheet state="visible" name="220 Pouch Custom" sheetId="218" r:id="rId222"/>
    <sheet state="visible" name="221 Rashguard Nylon Spandex Rag" sheetId="219" r:id="rId223"/>
    <sheet state="visible" name="222 Rashguard Nylon Spandex Rag" sheetId="220" r:id="rId224"/>
    <sheet state="visible" name="223 Rashguard Nylon Spandex Rag" sheetId="221" r:id="rId225"/>
    <sheet state="visible" name="224 Rashguard Nylon Spandex Rag" sheetId="222" r:id="rId226"/>
    <sheet state="visible" name="225Rashguard Nylon-poli-Spdx Ra" sheetId="223" r:id="rId227"/>
    <sheet state="visible" name="248 Rashguard Nylon-poli-Spdx R" sheetId="224" r:id="rId228"/>
    <sheet state="visible" name="226 Rashguard Nylon-poli-Spdx R" sheetId="225" r:id="rId229"/>
    <sheet state="visible" name="227Rashguard Nylon-poli-Spdx Ra" sheetId="226" r:id="rId230"/>
    <sheet state="visible" name="228 Rashguard Poli-Spandex Ragl" sheetId="227" r:id="rId231"/>
    <sheet state="visible" name="229 Rashguard Poli-Spandex Ragl" sheetId="228" r:id="rId232"/>
    <sheet state="visible" name="230 Rashguard Poli-Spandex Ragl" sheetId="229" r:id="rId233"/>
    <sheet state="visible" name="231 Rashguard Poli-Spandex Ragl" sheetId="230" r:id="rId234"/>
    <sheet state="visible" name="232 Rashguard Custom" sheetId="231" r:id="rId235"/>
    <sheet state="visible" name="233 Boy Short Premium Poli Span" sheetId="232" r:id="rId236"/>
    <sheet state="visible" name="233 CMT Kemeja Basic Pendek" sheetId="233" r:id="rId237"/>
    <sheet state="visible" name="234 CMT Kemeja Basic Pendek + A" sheetId="234" r:id="rId238"/>
    <sheet state="visible" name="235 CMT Kemeja Tailor" sheetId="235" r:id="rId239"/>
    <sheet state="visible" name="236 CMT Kemeja Tailor + Aksesor" sheetId="236" r:id="rId240"/>
    <sheet state="visible" name="237 CMT Kemeja Basic Panjang" sheetId="237" r:id="rId241"/>
    <sheet state="visible" name="238 CMT Kemeja Basic Panjang +a" sheetId="238" r:id="rId242"/>
    <sheet state="visible" name="239 CMT T-shirt Basic Rantai" sheetId="239" r:id="rId243"/>
    <sheet state="visible" name="240 CMT T-shirt Basic Stik Bahu" sheetId="240" r:id="rId244"/>
    <sheet state="visible" name="241 CMT Polo Shirt" sheetId="241" r:id="rId245"/>
    <sheet state="visible" name="242 CMT Jacket Basic" sheetId="242" r:id="rId246"/>
    <sheet state="visible" name="243 CMT Jacket Basic + Aksesori" sheetId="243" r:id="rId247"/>
    <sheet state="visible" name="244 CMT Jacket Variasi " sheetId="244" r:id="rId248"/>
    <sheet state="visible" name="245 CMT Jacket Variasi  + Akses" sheetId="245" r:id="rId249"/>
    <sheet state="visible" name="246 CMT Celana" sheetId="246" r:id="rId250"/>
    <sheet state="visible" name="247 CMT Celana + aksesories" sheetId="247" r:id="rId251"/>
    <sheet state="visible" name="249 T-shirt Custom" sheetId="248" r:id="rId252"/>
  </sheets>
  <definedNames/>
  <calcPr/>
</workbook>
</file>

<file path=xl/sharedStrings.xml><?xml version="1.0" encoding="utf-8"?>
<sst xmlns="http://schemas.openxmlformats.org/spreadsheetml/2006/main" count="23190" uniqueCount="719">
  <si>
    <t>T-Shirt Combed Reguler - DTF</t>
  </si>
  <si>
    <t>T-Shirt Combed Premium - DTF</t>
  </si>
  <si>
    <t>T-Shirt Combed Premium - Sablon</t>
  </si>
  <si>
    <t>Total Harga/Pcs</t>
  </si>
  <si>
    <t>Bahan</t>
  </si>
  <si>
    <t>T-Shirt Combed Reguler - Sablon</t>
  </si>
  <si>
    <t>Aksesoris</t>
  </si>
  <si>
    <t>Pekerja</t>
  </si>
  <si>
    <t>Total Biaya Per Pcs</t>
  </si>
  <si>
    <t>BAHAN UTAMA</t>
  </si>
  <si>
    <t>NO</t>
  </si>
  <si>
    <t>BAHAN</t>
  </si>
  <si>
    <t>WARNA</t>
  </si>
  <si>
    <t>PEMAKAIAN</t>
  </si>
  <si>
    <t>UNIT</t>
  </si>
  <si>
    <t>KETERANGAN Pemakaian</t>
  </si>
  <si>
    <t>VENDOR</t>
  </si>
  <si>
    <t>HARGA ECER</t>
  </si>
  <si>
    <t>HARGA ROLL</t>
  </si>
  <si>
    <t>HARGA / PCS</t>
  </si>
  <si>
    <t xml:space="preserve">Cotton Combed reguler </t>
  </si>
  <si>
    <t>Hitam</t>
  </si>
  <si>
    <t xml:space="preserve">Cotton Combed Premium </t>
  </si>
  <si>
    <t>Kg</t>
  </si>
  <si>
    <t>1 kg untuk 4,6 Pcs</t>
  </si>
  <si>
    <t>Fokus</t>
  </si>
  <si>
    <t>CV. Terang Mulia Bandung</t>
  </si>
  <si>
    <t>Rib Cotton Combed Reguler</t>
  </si>
  <si>
    <t xml:space="preserve">Rib Cotton Combed Premium </t>
  </si>
  <si>
    <t>1 Kg untuk 125 Pcs</t>
  </si>
  <si>
    <t xml:space="preserve">Cotton Combed Reguler </t>
  </si>
  <si>
    <t>AKSESORIS</t>
  </si>
  <si>
    <t>KET. PEMAKAIAN</t>
  </si>
  <si>
    <t>Benang Jahit</t>
  </si>
  <si>
    <t xml:space="preserve">Rib Cotton Combed Reguler </t>
  </si>
  <si>
    <t>Lusin</t>
  </si>
  <si>
    <t>T-Shirt Oversize Combed Premium - Sablon</t>
  </si>
  <si>
    <t>1 lusin jadi 100pc</t>
  </si>
  <si>
    <t>Toko 1001</t>
  </si>
  <si>
    <t>Benang Obras</t>
  </si>
  <si>
    <t>Cones</t>
  </si>
  <si>
    <t>4 cones jadi 120pc</t>
  </si>
  <si>
    <t>Label Size Bordir</t>
  </si>
  <si>
    <t>Golong</t>
  </si>
  <si>
    <t>1 Golong Jadi 100 pc</t>
  </si>
  <si>
    <t>Plastik Opp 30 Micron</t>
  </si>
  <si>
    <t>Bening</t>
  </si>
  <si>
    <t>Pcs</t>
  </si>
  <si>
    <t>1 Plastik 1 Pcs</t>
  </si>
  <si>
    <t>Mapan Plastik</t>
  </si>
  <si>
    <t>Plastik Pp 50x60cm</t>
  </si>
  <si>
    <t>1 Plastik 10 Pcs</t>
  </si>
  <si>
    <t>Istana Plastik</t>
  </si>
  <si>
    <t>Karung</t>
  </si>
  <si>
    <t>Putih</t>
  </si>
  <si>
    <t>1 karung 100 pcs</t>
  </si>
  <si>
    <t>Cibadak</t>
  </si>
  <si>
    <t>DTF</t>
  </si>
  <si>
    <t>Mix Warna</t>
  </si>
  <si>
    <t>Cat Sablon Plastisol</t>
  </si>
  <si>
    <t>-</t>
  </si>
  <si>
    <t>Max Print</t>
  </si>
  <si>
    <t>Metro SPS</t>
  </si>
  <si>
    <t>Manufaktur</t>
  </si>
  <si>
    <t>WORK</t>
  </si>
  <si>
    <t>ESTIMASI MIN</t>
  </si>
  <si>
    <t>Cutting T-Shirt</t>
  </si>
  <si>
    <t>Cotton Combed Premium</t>
  </si>
  <si>
    <t>VML</t>
  </si>
  <si>
    <t>Sablon T-Shirt</t>
  </si>
  <si>
    <t>1 kg untuk 3,5 Pcs</t>
  </si>
  <si>
    <t>Jahit T-Shirt</t>
  </si>
  <si>
    <t>QC T-Shirt</t>
  </si>
  <si>
    <t>1 Kg untuk 100 Pcs</t>
  </si>
  <si>
    <t>T-Shirt Oversize Combed Reguler - Sablon</t>
  </si>
  <si>
    <t>T-Shirt Oversize Combed Premium - DTF</t>
  </si>
  <si>
    <t>T-Shirt Oversize Combed Reguler - DTF</t>
  </si>
  <si>
    <t>Cotton Combed Reguler</t>
  </si>
  <si>
    <t>T-Shirt Boxy Combed Premium - Sablon</t>
  </si>
  <si>
    <t>T-Shirt Boxy Combed Reguler - Sablon</t>
  </si>
  <si>
    <t>T-Shirt Boxy Combed Premium - DTF</t>
  </si>
  <si>
    <t>T-Shirt Boxy Combed Reguler - DTF</t>
  </si>
  <si>
    <t>Rib Cotton Combed Premium</t>
  </si>
  <si>
    <t>T-Shirt US Combed Premium - Sablon</t>
  </si>
  <si>
    <t>T-Shirt US Combed Premium - DTF</t>
  </si>
  <si>
    <t>T-Shirt US Combed Reguler - Sablon</t>
  </si>
  <si>
    <t>T-Shirt US Combed Reguler - DTF</t>
  </si>
  <si>
    <t>1 kg untuk 3,8 Pcs</t>
  </si>
  <si>
    <t>T-Shirt L/S Combed Premium - Sablon</t>
  </si>
  <si>
    <t>T-Shirt L/S Combed Reguler - Sablon</t>
  </si>
  <si>
    <t>T-Shirt L/S Combed Premium - DTF</t>
  </si>
  <si>
    <t>T-Shirt L/S Combed Reguler - DTF</t>
  </si>
  <si>
    <t>Cotton Combed Premium 30s</t>
  </si>
  <si>
    <t>Rib Cotton Combed Premium 30s</t>
  </si>
  <si>
    <t>T-Shirt Raglan S/S Combed Premium (3/4)- Sablon</t>
  </si>
  <si>
    <t>Cotton Combed Premium Badan</t>
  </si>
  <si>
    <t>1 kg 6 Pc badan</t>
  </si>
  <si>
    <t>T-Shirt Raglan S/S Combed Premium (3/4)- DTF</t>
  </si>
  <si>
    <t>1 kg untuk 100 Pc</t>
  </si>
  <si>
    <t>kg</t>
  </si>
  <si>
    <t>1 kg untuk 12 Pc (3/4)</t>
  </si>
  <si>
    <t>T-Shirt Raglan S/S Combed reguler (3/4)- Sablon</t>
  </si>
  <si>
    <t>T-Shirt Raglan L/S Combed Premium - Sablon</t>
  </si>
  <si>
    <t>T-Shirt Raglan L/S Combed Reguler - Sablon</t>
  </si>
  <si>
    <t>T-Shirt Raglan L/S Combed Premium - DTF</t>
  </si>
  <si>
    <t>1 kg untuk 8.5 Pc</t>
  </si>
  <si>
    <t>T-Shirt Raglan L/S Combed Reguler - DTF</t>
  </si>
  <si>
    <t>1 kg untuk 8 Pc</t>
  </si>
  <si>
    <t>Polo Poli Single S/S - Sablon</t>
  </si>
  <si>
    <t>Polo Poli Single S/S - DTF</t>
  </si>
  <si>
    <t>Lacoste Pique PE</t>
  </si>
  <si>
    <t>1 kg 3.5 Pc</t>
  </si>
  <si>
    <t>Subur Makmur</t>
  </si>
  <si>
    <t>Kragh Manset</t>
  </si>
  <si>
    <t>set</t>
  </si>
  <si>
    <t>subur Makmur</t>
  </si>
  <si>
    <t>Polo Poli Single L/S - Sablon</t>
  </si>
  <si>
    <t>Poli Single L/S - DTF</t>
  </si>
  <si>
    <t>1 kg 3 Pc</t>
  </si>
  <si>
    <t>Jersey Dryfit S/S - Full Print</t>
  </si>
  <si>
    <t>Jersey Dryfit S/S Spandex - Full Print</t>
  </si>
  <si>
    <t>Dryfit Strech (Drop Needle)</t>
  </si>
  <si>
    <t>Dryfit (brazil/benzema/milano)</t>
  </si>
  <si>
    <t>1 kg = 3.3 meter, 1 Pc=0.9M</t>
  </si>
  <si>
    <t>Ragam bahan</t>
  </si>
  <si>
    <t>Central</t>
  </si>
  <si>
    <t>Sublim</t>
  </si>
  <si>
    <t xml:space="preserve"> </t>
  </si>
  <si>
    <t>meter</t>
  </si>
  <si>
    <t>0.9 meter 1 Pc</t>
  </si>
  <si>
    <t>Jersey Dryfit L/S - Full Print</t>
  </si>
  <si>
    <t>0.8 meter 1 Pc</t>
  </si>
  <si>
    <t>Jersey Dryfit L/S Spandex - Full Print</t>
  </si>
  <si>
    <t xml:space="preserve">Jersey Dryfit Raglan S/S </t>
  </si>
  <si>
    <t>Jersey Dryfit Raglan S/S Spandex</t>
  </si>
  <si>
    <t>1 kg = 3.3 meter, 1 Pc=1M</t>
  </si>
  <si>
    <t>Ragam Bahan</t>
  </si>
  <si>
    <t>1 kg = 3.3 meter, 1 Pc=9M</t>
  </si>
  <si>
    <t>1.1 meter 1 Pc</t>
  </si>
  <si>
    <t>1 meter 1 Pc</t>
  </si>
  <si>
    <t xml:space="preserve">Jersey Dryfit Raglan L/S </t>
  </si>
  <si>
    <t>Pasang Lubang Kancing</t>
  </si>
  <si>
    <t>Jersey Dryfit Raglan L/S Spandex</t>
  </si>
  <si>
    <t>Polo Jersey Dryfit Spandex - Sublim</t>
  </si>
  <si>
    <t>Polo Jersey Dryfit - Sublim</t>
  </si>
  <si>
    <t>1 kg = 3.3 meter, 1 Pc=1.1M</t>
  </si>
  <si>
    <t>1.2 meter 1 Pc</t>
  </si>
  <si>
    <t>Kain Keras</t>
  </si>
  <si>
    <t>Meter</t>
  </si>
  <si>
    <t>0,5 untuk 12 pc</t>
  </si>
  <si>
    <t>1 meter untuk 1 Pc</t>
  </si>
  <si>
    <t>cisarua</t>
  </si>
  <si>
    <t>Polo Jersey Dryfit L/S - Sublim</t>
  </si>
  <si>
    <t>Polo Jersey Dryfit Spandex L/S - Sublim</t>
  </si>
  <si>
    <t>Polo Shirt Combed Premium S/S - Bordir</t>
  </si>
  <si>
    <t>Combed Premium</t>
  </si>
  <si>
    <t>1.1 kg = 5 Pc</t>
  </si>
  <si>
    <t>Terang Mulia</t>
  </si>
  <si>
    <t>Krah &amp; Manset Lacoste Cvc 20s</t>
  </si>
  <si>
    <t>Polo Shirt Custom</t>
  </si>
  <si>
    <t>1 Meter Untuk 30 Pcs Kain Kras</t>
  </si>
  <si>
    <t>Bordir</t>
  </si>
  <si>
    <t>2 Logo</t>
  </si>
  <si>
    <t>Andry Bordir</t>
  </si>
  <si>
    <t>Lacoste Cvc 20s</t>
  </si>
  <si>
    <t>Polo Shirt Combed Premium L/S - Bordir</t>
  </si>
  <si>
    <t>1 kg = 3.5 Pc</t>
  </si>
  <si>
    <t>Polo Shirt Soft S/S - Custom Bordir</t>
  </si>
  <si>
    <t>0.95 kg = 4 Pc</t>
  </si>
  <si>
    <t>1,05kg = 3 Pc</t>
  </si>
  <si>
    <t>Krah Manset Pique Hexagon 24s</t>
  </si>
  <si>
    <t>PT. Knitto Tekstil Indonesia</t>
  </si>
  <si>
    <t>Polo Shirt Pique S/S - Bordir</t>
  </si>
  <si>
    <t>Polo Shirt Pique S/S - Custom Bordir</t>
  </si>
  <si>
    <t>Polo Shirt Pique L/S - Bordir</t>
  </si>
  <si>
    <t>Polo Shirt Pique L/S - Custom Bordir</t>
  </si>
  <si>
    <t>Pique Hexagon 24s</t>
  </si>
  <si>
    <t>1 kg untuk 3.5 pc</t>
  </si>
  <si>
    <t/>
  </si>
  <si>
    <t>Polo Shirt Pique Reguler S/S - Bordir</t>
  </si>
  <si>
    <t>Polo Shirt Pique Reguler S/S - Custom Bordir</t>
  </si>
  <si>
    <t>Polo Shirt Pique Reguler L/S - Bordir</t>
  </si>
  <si>
    <t>2 titik</t>
  </si>
  <si>
    <t xml:space="preserve">Lacoste CVC 20s </t>
  </si>
  <si>
    <t>Krah Manset Lacoste CVC</t>
  </si>
  <si>
    <t>1 kg untuk 3 pc</t>
  </si>
  <si>
    <t>Polo Shirt Pique Reguler L/S - Custom Bordir</t>
  </si>
  <si>
    <t>Andry</t>
  </si>
  <si>
    <t>Kemeja Seragam S/S Drill/Tropical - Bordir</t>
  </si>
  <si>
    <t>Kemeja Seragam S/S Drill/Tropical - Custom</t>
  </si>
  <si>
    <t>Kemeja Seragam S/S Drill Heavy Duty - Bordir</t>
  </si>
  <si>
    <t>Maryland Tropical</t>
  </si>
  <si>
    <t>1.3 meter = 1 baju</t>
  </si>
  <si>
    <t>Sumber Agung</t>
  </si>
  <si>
    <t>Jahit Polo Shirt</t>
  </si>
  <si>
    <t>Bahan Kantong (jika Dibuthkan)</t>
  </si>
  <si>
    <t>1 lusin jadi 50 Pcs</t>
  </si>
  <si>
    <t>4 cones jadi 50 Pcs</t>
  </si>
  <si>
    <t>1 Golong Jadi 100 Pcs</t>
  </si>
  <si>
    <t>1,5 Meter Jadi 5 Pcs</t>
  </si>
  <si>
    <t>Kancing</t>
  </si>
  <si>
    <t>di sesuaikan</t>
  </si>
  <si>
    <t>7 Pc Pembelian per 1 gross</t>
  </si>
  <si>
    <t>Cutting Kemeja</t>
  </si>
  <si>
    <t>Kancing Besar</t>
  </si>
  <si>
    <t>Jahit Kemeja</t>
  </si>
  <si>
    <t>QC Kemeja</t>
  </si>
  <si>
    <t>Kemeja Seragam S/S Toyobo Premium - Bordir</t>
  </si>
  <si>
    <t>Kemeja Seragam S/S Toyobo Premium - Custom</t>
  </si>
  <si>
    <t>Kemeja Seragam S/S High Twist Premium - Bordir</t>
  </si>
  <si>
    <t>Toyobo Fodu</t>
  </si>
  <si>
    <t>Median</t>
  </si>
  <si>
    <t>High Twist</t>
  </si>
  <si>
    <t>Indah Tex</t>
  </si>
  <si>
    <t xml:space="preserve">Kancing </t>
  </si>
  <si>
    <t>Kemeja Seragam L/S Drill/Tropical - Bordir</t>
  </si>
  <si>
    <t>Kemeja Seragam L/S Drill/Tropical - Custom</t>
  </si>
  <si>
    <t>1.5 meter = 1 baju</t>
  </si>
  <si>
    <t>Kemeja Seragam L/S Drill Heavy Duty - Bordir</t>
  </si>
  <si>
    <t>Ventura</t>
  </si>
  <si>
    <t>Kemeja Seragam L/S Toyobo Premium - Bordir</t>
  </si>
  <si>
    <t>Kemeja Seragam L/S Toyobo Premium - Custom</t>
  </si>
  <si>
    <t>Kemeja Seragam L/S High Twist Premium - Bordir</t>
  </si>
  <si>
    <t>Kemeja Seragam S/S  Toyobo - Full Print</t>
  </si>
  <si>
    <t>Toyobo sublim</t>
  </si>
  <si>
    <t>Yard</t>
  </si>
  <si>
    <t>1.25 meter = 1 Pc</t>
  </si>
  <si>
    <t>Cahya</t>
  </si>
  <si>
    <t>1.2 meter jadi 1 Pc</t>
  </si>
  <si>
    <t>Cutting Kemeja Sublim</t>
  </si>
  <si>
    <t>Kemeja Seragam S/S Twist Miracle- Full Print</t>
  </si>
  <si>
    <t>QC KEmeja</t>
  </si>
  <si>
    <t>Kemeja Seragam S/S Poly Micro - Full Print</t>
  </si>
  <si>
    <t>Kemeja Seragam L/S Toyobo - Full Print</t>
  </si>
  <si>
    <t>Twist Miracle</t>
  </si>
  <si>
    <t>Polymicro</t>
  </si>
  <si>
    <t>1.55 meter = 1 Pc</t>
  </si>
  <si>
    <t>1 meter lebar 180</t>
  </si>
  <si>
    <t>Jaya Mandiri</t>
  </si>
  <si>
    <t>Kemeja Seragam L/S Twist Miracle- Full Print</t>
  </si>
  <si>
    <t>1.5 meter = 1 Pc</t>
  </si>
  <si>
    <t>1.5 meter jadi 1 Pc</t>
  </si>
  <si>
    <t>0.9 meter jadi 1 Pc</t>
  </si>
  <si>
    <t>Kemeja Seragam L/S Poly Micro - Full Print</t>
  </si>
  <si>
    <t>Celana Panjang Sopan Drill/Tropical</t>
  </si>
  <si>
    <t>Celana Panjang Sopan Drill/Tropical Heavy Duty</t>
  </si>
  <si>
    <t>Celana Panjang Sopan High Twist</t>
  </si>
  <si>
    <t>1,45 meter untuk 1 celana</t>
  </si>
  <si>
    <t>Puring Asahi</t>
  </si>
  <si>
    <t>0,650 Meter U 1 Unit Celana</t>
  </si>
  <si>
    <t>Raharja</t>
  </si>
  <si>
    <t>1 lusin untuk 21 pc</t>
  </si>
  <si>
    <t>Maryland Drill / tropical Badan</t>
  </si>
  <si>
    <t>4 cones untuk 21 pc</t>
  </si>
  <si>
    <t>Maryland Drill/ tropical kantong</t>
  </si>
  <si>
    <t>16 cm untuk kantong</t>
  </si>
  <si>
    <t>Kain Keras + Potong Kain Keras 3.5 cm</t>
  </si>
  <si>
    <t>-+ 90cm u/ 1 ban celana</t>
  </si>
  <si>
    <t>Resleting 8in YKK</t>
  </si>
  <si>
    <t>1 sleting u/ 1 celana</t>
  </si>
  <si>
    <t>Kancing PDH</t>
  </si>
  <si>
    <t>Abu</t>
  </si>
  <si>
    <t>Celana Panjang Engineering Drill/Tropical</t>
  </si>
  <si>
    <t>1 kancing u/ 1 celana</t>
  </si>
  <si>
    <t>Kancing Kait (YKK)</t>
  </si>
  <si>
    <t>Karet SR Tiger 5cm</t>
  </si>
  <si>
    <t xml:space="preserve">1,3 untuk 1 celana </t>
  </si>
  <si>
    <t>Maryland Drill / Tropical</t>
  </si>
  <si>
    <t>1,75 meter untuk 1 celana</t>
  </si>
  <si>
    <t>Maryland Drill/ Tropical kantong</t>
  </si>
  <si>
    <t>Celana Panjang Sopan Engineering Drill/Tropical Heavy Duty</t>
  </si>
  <si>
    <t>Celana Panjang Sopan Engineering High Twist</t>
  </si>
  <si>
    <t>Cutting celana</t>
  </si>
  <si>
    <t>Ventura badan kantong</t>
  </si>
  <si>
    <t>Jahit celana</t>
  </si>
  <si>
    <t>QC celana</t>
  </si>
  <si>
    <t>High Twist badan</t>
  </si>
  <si>
    <t>1,65 meter untuk 1 celana</t>
  </si>
  <si>
    <t>High Twist kantong</t>
  </si>
  <si>
    <t>0.16 untuk 1 celana</t>
  </si>
  <si>
    <t>Celana Pendek Drill/Tropical</t>
  </si>
  <si>
    <t>Maryland Drill badan</t>
  </si>
  <si>
    <t>meter untuk 1 celana</t>
  </si>
  <si>
    <t>Celana Pendek Drill/Tropical Heavy Duty</t>
  </si>
  <si>
    <t>Maryland Drill badan kantong</t>
  </si>
  <si>
    <t>.</t>
  </si>
  <si>
    <t>Celana Panjang Olah Raga Diadora Poli</t>
  </si>
  <si>
    <t>Ventura kantong</t>
  </si>
  <si>
    <t>\</t>
  </si>
  <si>
    <t>Celana Panjang Olah Raga Baby Tery Poli</t>
  </si>
  <si>
    <t>0,72 kg untuk 3 pc celana</t>
  </si>
  <si>
    <t>1 kg untuk 10 set</t>
  </si>
  <si>
    <t>Celana Pendek Olah Raga Jersey Dry Fit</t>
  </si>
  <si>
    <t>4 cones jadi 100pc</t>
  </si>
  <si>
    <t>Baby Terry PE 30S</t>
  </si>
  <si>
    <t>CV. Karunia Textile</t>
  </si>
  <si>
    <t>Bur Baby Terry PE 30s</t>
  </si>
  <si>
    <t>Karet SR Tiger 4cm</t>
  </si>
  <si>
    <t>1 Celana 1 Meter</t>
  </si>
  <si>
    <t>Jersey Dry Fit</t>
  </si>
  <si>
    <t>1 kg = 5 Pc</t>
  </si>
  <si>
    <t>Sandang Indah</t>
  </si>
  <si>
    <t>Celana Pendek Olah Raga Jersey 4Way</t>
  </si>
  <si>
    <t>Warepack Bengkel Drill Bordir 1-3 Titik</t>
  </si>
  <si>
    <t>4Ways</t>
  </si>
  <si>
    <t>Lebar 134, 1 Pc Per meter</t>
  </si>
  <si>
    <t>Paramatex</t>
  </si>
  <si>
    <t>Verlando Japan Drill</t>
  </si>
  <si>
    <t>estimasi 3 yard untuk 1 wearpack</t>
  </si>
  <si>
    <t>Jala Lubang kecil untuk Sirkulasi kemeja</t>
  </si>
  <si>
    <t>1 kg untuk 50 pc kemeja</t>
  </si>
  <si>
    <t>Toko Anugrah</t>
  </si>
  <si>
    <t>Wearpack Drill Heavy Duty - Premium Bordir</t>
  </si>
  <si>
    <t>1 lusin untuk 100 pc</t>
  </si>
  <si>
    <t>Tali</t>
  </si>
  <si>
    <t>1 kilo jadi 200 Pc</t>
  </si>
  <si>
    <t>Cigonewah</t>
  </si>
  <si>
    <t>Rompi Event Jersey Ekonomis (wasit)</t>
  </si>
  <si>
    <t xml:space="preserve">Cutting </t>
  </si>
  <si>
    <t xml:space="preserve">Jahit </t>
  </si>
  <si>
    <t>ventura</t>
  </si>
  <si>
    <t xml:space="preserve">QC </t>
  </si>
  <si>
    <t>sumber agung</t>
  </si>
  <si>
    <t>Kain Keras Tebal</t>
  </si>
  <si>
    <t>1.5mtr jadi 10pc</t>
  </si>
  <si>
    <t>Tiga Saudara</t>
  </si>
  <si>
    <t>Kain Keras Kodok</t>
  </si>
  <si>
    <t>Resleting Besi YKK</t>
  </si>
  <si>
    <t>Rompi Lapangan Drill Reguler Bordir 1-2 titik</t>
  </si>
  <si>
    <t>Toko 10</t>
  </si>
  <si>
    <t>Kancing Cetet Besi</t>
  </si>
  <si>
    <t>Black Nikel</t>
  </si>
  <si>
    <t>8 pc untuk 1 wearpack</t>
  </si>
  <si>
    <t>Toko Sumber Jaya</t>
  </si>
  <si>
    <t>Karet SR 3cm</t>
  </si>
  <si>
    <t>0,9 untuk 1 wearpack</t>
  </si>
  <si>
    <t>Bordir Wearpack</t>
  </si>
  <si>
    <t>Andri Bordir Ciwastra</t>
  </si>
  <si>
    <t>Dryfit (Brazil/Benzema) warna Stabilo</t>
  </si>
  <si>
    <t>Stabilo</t>
  </si>
  <si>
    <t>Cutting Wearpack</t>
  </si>
  <si>
    <t>1,09 yard untuk 1 rompi</t>
  </si>
  <si>
    <t>Jahit Wearpack</t>
  </si>
  <si>
    <t>QC Wearpack</t>
  </si>
  <si>
    <t>Bis</t>
  </si>
  <si>
    <t>hitam</t>
  </si>
  <si>
    <t>1 Lusin Untuk 75 pc</t>
  </si>
  <si>
    <t>Rompi Lapangan Drill Heavy Duty - Premium Bordir</t>
  </si>
  <si>
    <t>Maryland Drill</t>
  </si>
  <si>
    <t>4 cones Untuk 120 pc</t>
  </si>
  <si>
    <t>Karet</t>
  </si>
  <si>
    <t>sablon</t>
  </si>
  <si>
    <t>GL</t>
  </si>
  <si>
    <t>internal</t>
  </si>
  <si>
    <t>Zipper AMco No.5</t>
  </si>
  <si>
    <t>0,45 untuk 1 rompi</t>
  </si>
  <si>
    <t>Toko Maju Jaya Webbing &amp; Aksesoris Tas</t>
  </si>
  <si>
    <t>Cutting</t>
  </si>
  <si>
    <t>Resleting Jacket Amco no 5</t>
  </si>
  <si>
    <t>30000/ Lusin</t>
  </si>
  <si>
    <t>Jahit</t>
  </si>
  <si>
    <t>Rompi Taslan Bordir 1-2 Titik</t>
  </si>
  <si>
    <t>QC</t>
  </si>
  <si>
    <t>Velcro Lebar 2.5cm</t>
  </si>
  <si>
    <t>0,3 untuk 1 rompi</t>
  </si>
  <si>
    <t>Kepala Sleting Top No.3</t>
  </si>
  <si>
    <t>3 pc untuk 1 rompi</t>
  </si>
  <si>
    <t>1 pc untuk 1 rompi</t>
  </si>
  <si>
    <t>Rompi Custom Bordir 1-2 titik</t>
  </si>
  <si>
    <t>Taslan (milky/ Taslan )</t>
  </si>
  <si>
    <t>Megatex</t>
  </si>
  <si>
    <t>Rompi + Inner Drill Reguler Bordir</t>
  </si>
  <si>
    <t>Zipper YKK No.5 (jacket)</t>
  </si>
  <si>
    <t>Puring jaring tebal</t>
  </si>
  <si>
    <t>1 kg untuk 3 pc rompi</t>
  </si>
  <si>
    <t>Toko Yubitex</t>
  </si>
  <si>
    <t>Zipper Top No.3</t>
  </si>
  <si>
    <t>1 Pc untuk 1 Rompi</t>
  </si>
  <si>
    <t>Resleting Jacket YKK 60cm</t>
  </si>
  <si>
    <t>Kepala Sleting Ykk No.3</t>
  </si>
  <si>
    <t xml:space="preserve">Rompi+Inner Drill Heavy duty (Premium)Bordir </t>
  </si>
  <si>
    <t>Rompi+Inner Taslan Bordir</t>
  </si>
  <si>
    <t>Asep Iyenk Batara Bordir</t>
  </si>
  <si>
    <t>CrewNeck Fleece Premium Cotton Bordir/sabl</t>
  </si>
  <si>
    <t>CrewNeck Fleece CVC Reguler Bordir/sablon</t>
  </si>
  <si>
    <t>Fleece Cotton</t>
  </si>
  <si>
    <t>Hoodie Fleece Premium Non Zipper sbln/bordir</t>
  </si>
  <si>
    <t>1 kg untuk 2.5 Pc</t>
  </si>
  <si>
    <t>Knitto</t>
  </si>
  <si>
    <t>Boor Fleece</t>
  </si>
  <si>
    <t>1 kg 6 Pc</t>
  </si>
  <si>
    <t>CKP</t>
  </si>
  <si>
    <t>Boor</t>
  </si>
  <si>
    <t>1 Kg untuk 8 pc hoodie</t>
  </si>
  <si>
    <t>Cotton Fleece</t>
  </si>
  <si>
    <t>1 Kg untuk 2 pc Hoodie</t>
  </si>
  <si>
    <t>1 Lusin Jadi 70Pcs</t>
  </si>
  <si>
    <t>4 Cones Jadi 70Pcs</t>
  </si>
  <si>
    <t>Hoodie Fleece Poli Non Zipper sbln/bordir</t>
  </si>
  <si>
    <t>Sablon Plastisol</t>
  </si>
  <si>
    <t>Mata Itik 1cm</t>
  </si>
  <si>
    <t>2 Pc untuk 1 hoodie</t>
  </si>
  <si>
    <t>Tali Kur</t>
  </si>
  <si>
    <t>Kuning</t>
  </si>
  <si>
    <t>1,2 Meter Untuk 1 Hoodie</t>
  </si>
  <si>
    <t>Hoodie Fleece Premium Zipper sbln/bordir</t>
  </si>
  <si>
    <t>Hoodie Fleece poli Zipper sbln/bordir</t>
  </si>
  <si>
    <t>Crew Neck Custom</t>
  </si>
  <si>
    <t>Fleece</t>
  </si>
  <si>
    <t>1 kg untuk 2,3 pc sweater</t>
  </si>
  <si>
    <t>1 kg untuk 6 pc bur sweater</t>
  </si>
  <si>
    <t>4 cones jadi 150 pc</t>
  </si>
  <si>
    <t>Hoodie Custom</t>
  </si>
  <si>
    <t>Jacket Varsity Premium Fleece Combed (bordir/sablon)</t>
  </si>
  <si>
    <t>Jacket Varsity Reguler Fleece CVC (bordir/sablon)</t>
  </si>
  <si>
    <t>Jacket Varsity Lotto + Inner (bordir)</t>
  </si>
  <si>
    <t>1 Kg untuk 6 pc hoodie</t>
  </si>
  <si>
    <t>1.1 kg untuk 2 Pc</t>
  </si>
  <si>
    <t>Fleece CVC</t>
  </si>
  <si>
    <t>1 kg 8 Pc</t>
  </si>
  <si>
    <t>Lotto</t>
  </si>
  <si>
    <t>4 lusin untuk 100Pc</t>
  </si>
  <si>
    <t>Suka Sandang</t>
  </si>
  <si>
    <t>disesuaikan</t>
  </si>
  <si>
    <t>Zipper</t>
  </si>
  <si>
    <t>Kancing Plastik</t>
  </si>
  <si>
    <t>Minaroran 1 pack 350rb isi 720</t>
  </si>
  <si>
    <t>Maju Jaya</t>
  </si>
  <si>
    <t>Tali Resleting</t>
  </si>
  <si>
    <t>Pasang Kancing</t>
  </si>
  <si>
    <t>Jacket Parka Puma+ Inner (bordir)</t>
  </si>
  <si>
    <t>Jacket Varsity  Lotto + Inner (bordir)</t>
  </si>
  <si>
    <t>Jacket Parka Taslan + Inner (bordir)</t>
  </si>
  <si>
    <t>Jacket Parka Drill + Inner (bordir)</t>
  </si>
  <si>
    <t>Puma</t>
  </si>
  <si>
    <t>1.6 meter = 1 Pc</t>
  </si>
  <si>
    <t>Skid</t>
  </si>
  <si>
    <t>Puring Parasit</t>
  </si>
  <si>
    <t>1.6 Meter = 1 Pc</t>
  </si>
  <si>
    <t>Sinar Abadi</t>
  </si>
  <si>
    <t>Taslan</t>
  </si>
  <si>
    <t>Taslan Milky</t>
  </si>
  <si>
    <t>MAryland Drill / Verlando</t>
  </si>
  <si>
    <t>Jacket Parka Drill Heavy Duty+Inner (bordir)</t>
  </si>
  <si>
    <t xml:space="preserve">Jacket Windbreaker Hoodie Kra </t>
  </si>
  <si>
    <t>Jacket Windbreaker Hoodie Dusky</t>
  </si>
  <si>
    <t>QUILTING 2oz hitam diamond 2inc kain taffeta</t>
  </si>
  <si>
    <t>2.1 meter jadi 1</t>
  </si>
  <si>
    <t>Dunia Dakron</t>
  </si>
  <si>
    <t>Talikur</t>
  </si>
  <si>
    <t xml:space="preserve">34000/28 yard. 1 Pc </t>
  </si>
  <si>
    <t>Sumber Jaya</t>
  </si>
  <si>
    <t>Dusky</t>
  </si>
  <si>
    <t>Stopper transparant</t>
  </si>
  <si>
    <t>1 Pc=2.1 Meter</t>
  </si>
  <si>
    <t xml:space="preserve">Tamatex / CV Pelita </t>
  </si>
  <si>
    <t>pcs</t>
  </si>
  <si>
    <t>40000/100 Pc</t>
  </si>
  <si>
    <t>Mata Itik</t>
  </si>
  <si>
    <t>9000/60Pc</t>
  </si>
  <si>
    <t>Parasit Korea</t>
  </si>
  <si>
    <t>Gajah / Jaya Mandiri</t>
  </si>
  <si>
    <t>Totte Bag Canvas Ekonomis 23-25 x30 sablon</t>
  </si>
  <si>
    <t>Totte Bag Canvas Premium 23-25 x30 sablon</t>
  </si>
  <si>
    <t>Totte Bag Canvas Ekonomis 33-35x40 Sablon</t>
  </si>
  <si>
    <t>Canvas Marsoto TC Greige</t>
  </si>
  <si>
    <t>Broken White</t>
  </si>
  <si>
    <t>1 meter = 6 Pc</t>
  </si>
  <si>
    <t>Faezya Textile</t>
  </si>
  <si>
    <t xml:space="preserve">Tali Canvas Marsoto Greig panjang 1 meter </t>
  </si>
  <si>
    <t>1 meter = 5 Pc</t>
  </si>
  <si>
    <t>1 meter = 20 Pc</t>
  </si>
  <si>
    <t>1.15 meter = 20 Pc</t>
  </si>
  <si>
    <t>1 lusin 150 pc</t>
  </si>
  <si>
    <t>4 cones untuk 200 pc</t>
  </si>
  <si>
    <t>1 meter = 4 Pc</t>
  </si>
  <si>
    <t>Sablon</t>
  </si>
  <si>
    <t>1.3 meter = 20 Pc</t>
  </si>
  <si>
    <t>Rajangan</t>
  </si>
  <si>
    <t>Spunbond</t>
  </si>
  <si>
    <t>1 roll 28rb, 250 m</t>
  </si>
  <si>
    <t>Exhose</t>
  </si>
  <si>
    <t>Totte Bag Canvas Premium 28-25x35 Sablon</t>
  </si>
  <si>
    <t>Canvas Sweading</t>
  </si>
  <si>
    <t>Indah Mas</t>
  </si>
  <si>
    <t>Canvas Sweading tali</t>
  </si>
  <si>
    <t>125. Totte Bag Canvas reguler 23-25 x30 sablon</t>
  </si>
  <si>
    <t>Plastisol</t>
  </si>
  <si>
    <t>Canvas Marsoto</t>
  </si>
  <si>
    <t>Totte Bag Canvas Reguler 28-25x35 Sablon</t>
  </si>
  <si>
    <t>Totte Bag Canvas Premium CTR 23x30 Full Print</t>
  </si>
  <si>
    <t>Totte Bag Canvas Premium CTR 28-25x35</t>
  </si>
  <si>
    <t>Canvas Carlito</t>
  </si>
  <si>
    <t>Canvas Carlito tali</t>
  </si>
  <si>
    <t>sublim</t>
  </si>
  <si>
    <t>Totte Bag Canvas Premium RBO 23x30 Full Print</t>
  </si>
  <si>
    <t>Totte Bag Canvas Premium RBO 28-25x35</t>
  </si>
  <si>
    <t>Totte Bag Canvas Premium RBO full print 33-35x40</t>
  </si>
  <si>
    <t>Canvas RBO</t>
  </si>
  <si>
    <t>Canvas RBO tali</t>
  </si>
  <si>
    <t>Totte Bag Blacu 23-25x30 Tebal Sablon</t>
  </si>
  <si>
    <t>Totte Bag Canvas Blacu tebal 23-25x30 Sablon</t>
  </si>
  <si>
    <t>Blacu Tebal</t>
  </si>
  <si>
    <t>Totte Bag Blacu Tebal sablon 33-35x40</t>
  </si>
  <si>
    <t>Era Jeans</t>
  </si>
  <si>
    <t>Totte Bag Canvas Blacu sedang 23-25x30 Sablon</t>
  </si>
  <si>
    <t>Tali Blacu Tebal</t>
  </si>
  <si>
    <t>Blacu Sedang</t>
  </si>
  <si>
    <t>Tali Blacu Sedang</t>
  </si>
  <si>
    <t>Totte Bag Blacu sedang sablon 28-25x35</t>
  </si>
  <si>
    <t>Totte Bag Blacu sedang sablon 33-35x40</t>
  </si>
  <si>
    <t>129. Totte Bag Twill 2/1 23-25x30 Sablon</t>
  </si>
  <si>
    <t>Totte Bag Twill 2/1 sablon 28-25x35</t>
  </si>
  <si>
    <t>Twill 2/1</t>
  </si>
  <si>
    <t>Tali Twill 2/1</t>
  </si>
  <si>
    <t>Totte Bag Twill 2/1 sablon 33-35x40</t>
  </si>
  <si>
    <t>Totte Bag Spunbon 23-25x30 Sablon/ DTF</t>
  </si>
  <si>
    <t>Spunbond 100 gr</t>
  </si>
  <si>
    <t>Ekson</t>
  </si>
  <si>
    <t>Tali Spunbond 100 gr</t>
  </si>
  <si>
    <t>Totte Bag Spunbond sablon 28-25x35</t>
  </si>
  <si>
    <t>Totte Bag Spunbond sablon 33-35x40</t>
  </si>
  <si>
    <t>Totte Bag Spunbond Press Sablon 35x30x10 75gr</t>
  </si>
  <si>
    <t>Totte Bag Spunbond Press Sablon 35x30x10 100gr</t>
  </si>
  <si>
    <t>FOB CPS (Stanley) 75 grm 35x30x10</t>
  </si>
  <si>
    <t>Pc</t>
  </si>
  <si>
    <t>Min 5000 Pc</t>
  </si>
  <si>
    <t>CPS (Catur Pilar Sejahtera)</t>
  </si>
  <si>
    <t>FOB CPS (Stanley) 100 grm 35x30x10</t>
  </si>
  <si>
    <t>min 5000 Pc</t>
  </si>
  <si>
    <t>CPS</t>
  </si>
  <si>
    <t>Totte Bag Custom</t>
  </si>
  <si>
    <t>Foldable Bag Pola Reguler DSP 28x35 sablon</t>
  </si>
  <si>
    <t>Foldable Bag Pola Reguler DSP 33x40 sablon</t>
  </si>
  <si>
    <t>Foldable Bag Pola Reguler DSP 28x35 Sublim</t>
  </si>
  <si>
    <t>Despo Skit / Lite</t>
  </si>
  <si>
    <t>1 meter 5 Pc</t>
  </si>
  <si>
    <t>Skit</t>
  </si>
  <si>
    <t>Despo Skit / Lite Kantong Kecil</t>
  </si>
  <si>
    <t>40 cm jadi 12 Pc</t>
  </si>
  <si>
    <t>Despo Skit Tali</t>
  </si>
  <si>
    <t>1.15 Meter jadi 18</t>
  </si>
  <si>
    <t>1 meter 4 Pc</t>
  </si>
  <si>
    <t>Sesuaikan</t>
  </si>
  <si>
    <t>1.3 Meter jadi 20.</t>
  </si>
  <si>
    <t>1.15 Meter jadi 20.</t>
  </si>
  <si>
    <t>Bis Keliling Despo Skit</t>
  </si>
  <si>
    <t>3 cm = 1 Pc</t>
  </si>
  <si>
    <t>Foldable Bag Pola Reguler DSP 33x40 Sublim</t>
  </si>
  <si>
    <t>Foldable Bag Pola Tali SampingDSP 33x40 sablon</t>
  </si>
  <si>
    <t>Foldable Bag Pola Tali samping DSP 28x35sablon</t>
  </si>
  <si>
    <t>Foldable Bag Pola Tali Samping DSP 28x35Sublim</t>
  </si>
  <si>
    <t>sesuaikan</t>
  </si>
  <si>
    <t>1 meter 2.5 Pc</t>
  </si>
  <si>
    <t>1 meter 3 Pc</t>
  </si>
  <si>
    <t>Foldable Bag Pola Tali Samping DSP 33x40Sublim</t>
  </si>
  <si>
    <t>Foldable Bag Pola Tali Bulat DSP 28x35sablon</t>
  </si>
  <si>
    <t>Foldable Bag Pola Tali Bulat DSP 33x40 sablon</t>
  </si>
  <si>
    <t>Foldable Bag Pola Tali Bulat DSP 28x35 Sublim</t>
  </si>
  <si>
    <t>1 meter 2 Pc</t>
  </si>
  <si>
    <t>?</t>
  </si>
  <si>
    <t>Foldable Bag Pola Tali Bulat DSP 33x40 Sublim</t>
  </si>
  <si>
    <t>Foldable Bag Premium JN 28x35 sablon</t>
  </si>
  <si>
    <t>JN Skit / Lite</t>
  </si>
  <si>
    <t>Foldable Bag Premium JN Reguler 33x40 sablon</t>
  </si>
  <si>
    <t>Foldable Bag Premium JN Reguler 28x35 sublim</t>
  </si>
  <si>
    <t>JN Skit / Lite Kantong Kecil</t>
  </si>
  <si>
    <t>JN Skit / Lite tali</t>
  </si>
  <si>
    <t>Bis Keliling JN Skit</t>
  </si>
  <si>
    <t>Foldable Bag Premium JN Reguler 33x40 sublim</t>
  </si>
  <si>
    <t>Foldable Bag Premium JN Tali samping 28x35 sablon</t>
  </si>
  <si>
    <t>Foldable Bag Premium JN Tali samping 33x40 sablon</t>
  </si>
  <si>
    <t>Foldable Bag Premium JN Tali samping28x35 sublim</t>
  </si>
  <si>
    <t>Foldable Bag Premium JN Tali samping 33x40 sublim</t>
  </si>
  <si>
    <t>Foldable Bag Premium JN Tali bulat 28x35 sablon</t>
  </si>
  <si>
    <t>Foldable Bag Premium JN Tali bulat 33x40 sablon</t>
  </si>
  <si>
    <t>Foldable Bag Premium JN Tali bulat 28x35 sublim</t>
  </si>
  <si>
    <t>Foldable Bag Premium JN Tali bulat 33x40 sublim</t>
  </si>
  <si>
    <t>Foldable Bag Canvas Premium Sablon 28x35</t>
  </si>
  <si>
    <t>Foldable Bag Canvas Premium Sablon 33x40</t>
  </si>
  <si>
    <t>1.15 meter jadi 20</t>
  </si>
  <si>
    <t>Canvas Sweading Kantong Kecil</t>
  </si>
  <si>
    <t>1.3 meter jadi 20</t>
  </si>
  <si>
    <t>Foldable Bag Canvas Premium Sublim 28x35</t>
  </si>
  <si>
    <t>Cartlito Bahan</t>
  </si>
  <si>
    <t>Carlito Kantong Kecil</t>
  </si>
  <si>
    <t>Foldable Bag Canvas Premium Sublim 33x40</t>
  </si>
  <si>
    <t>Carlito Tali</t>
  </si>
  <si>
    <t>1. Meter jadi 20.</t>
  </si>
  <si>
    <t>Pouch Mika Rainbow Blue/Red Small 16x9x6</t>
  </si>
  <si>
    <t>Foldable Bag Costum</t>
  </si>
  <si>
    <t>Mika rainbow</t>
  </si>
  <si>
    <t>rainbow</t>
  </si>
  <si>
    <t>60 cm jadi 7</t>
  </si>
  <si>
    <t>Jumbo</t>
  </si>
  <si>
    <t>Kantong Kecil</t>
  </si>
  <si>
    <t>1 lusin jadi 120pc</t>
  </si>
  <si>
    <t>Resleting Ykk No.5</t>
  </si>
  <si>
    <t>HItam</t>
  </si>
  <si>
    <t>0,24 meter Untuk 1 Pouch</t>
  </si>
  <si>
    <t>Kepala Sleting No.5 AMCO</t>
  </si>
  <si>
    <t>Silver</t>
  </si>
  <si>
    <t>1 kepala sleting untuk 1 pouch</t>
  </si>
  <si>
    <t>Royal Guard (PVC)</t>
  </si>
  <si>
    <t>Pouch Mika Rainbow Blue/Red Medium 21x12x12</t>
  </si>
  <si>
    <t>0,25 untuk 100 pc</t>
  </si>
  <si>
    <t>Biar Jaya</t>
  </si>
  <si>
    <t>Mika Rainbow</t>
  </si>
  <si>
    <t>Biru/merah</t>
  </si>
  <si>
    <t>1 meter jadi 5 Pc</t>
  </si>
  <si>
    <t>Pouch Mika Premium 0.8 Medium 21x12x12</t>
  </si>
  <si>
    <t>Pouch Mika Premium 0.8 Small 16x9x6</t>
  </si>
  <si>
    <t>Pouch Mika Reguler 0.4 Small 16x9x6</t>
  </si>
  <si>
    <t>Mika 0,8mm</t>
  </si>
  <si>
    <t>Mika 0,4mm</t>
  </si>
  <si>
    <t>Pouch Mika Reguler 0.4 Medium 21x12x12</t>
  </si>
  <si>
    <t>Pouch Hand Bag Synthetic Leather+brand 20x12x6 (sablon/emboss)</t>
  </si>
  <si>
    <t>Pouch Hand Bag Parasit Premium Pluffy 20x12x6</t>
  </si>
  <si>
    <t>Bahan PU / Kulit Jeruk</t>
  </si>
  <si>
    <t>0.75 meter jadi 6</t>
  </si>
  <si>
    <t>Yap / Jumbo</t>
  </si>
  <si>
    <t>Pouch Hand Bag Cordura Sublim 20x12x6</t>
  </si>
  <si>
    <t>Parasit Despo / metalic</t>
  </si>
  <si>
    <t>Skid/Mahendra/ Firdaus</t>
  </si>
  <si>
    <t>Puring</t>
  </si>
  <si>
    <t>0.75 meter jadi 7</t>
  </si>
  <si>
    <t>Bam (berkat Abadi Mandiri)</t>
  </si>
  <si>
    <t>Cordura Sublim</t>
  </si>
  <si>
    <t>Toko Baru</t>
  </si>
  <si>
    <t>Dakron berepa 8Oz</t>
  </si>
  <si>
    <t>34000/meter, 1 meter jadi 4</t>
  </si>
  <si>
    <t>Pouch Hand Bag Cordura sablon 20x12x6</t>
  </si>
  <si>
    <t>Pouch Hand Bag Canvas sablon 20x12x6</t>
  </si>
  <si>
    <t xml:space="preserve">19.000/m2, </t>
  </si>
  <si>
    <t>Darul</t>
  </si>
  <si>
    <t>Pouch Hand Bag Canvas Sublim 20x12x6</t>
  </si>
  <si>
    <t>Pouch Hand Synthetic Leather+brand 23x13x7.5 (sablon/emboss)</t>
  </si>
  <si>
    <t>0.8 meter jadi 6</t>
  </si>
  <si>
    <t>Pouch Hand Bag Parasit flufy 23x13x7.5</t>
  </si>
  <si>
    <t>Pouch Hand Bag Cordura sablon 23x13x7.5</t>
  </si>
  <si>
    <t>Pouch Hand Bag Canvas Premium sablon 23x13x7.5</t>
  </si>
  <si>
    <t>Pouch Hand Bag Canvas Premium Sublim 23x13x7.5</t>
  </si>
  <si>
    <t>Pouch Hand Bag Custom</t>
  </si>
  <si>
    <t>Carlito</t>
  </si>
  <si>
    <t>Pouch Cordura Sablon Small 12x22</t>
  </si>
  <si>
    <t>Pouch Cordura Sublim Small 12x22</t>
  </si>
  <si>
    <t>Pouch Canvas Premium sablon Small 12x22</t>
  </si>
  <si>
    <t>Cordura</t>
  </si>
  <si>
    <t>84 cm = 18 Pc (include tali)</t>
  </si>
  <si>
    <t>85 cm = 18 Pc</t>
  </si>
  <si>
    <t>Pouch Canvas Premium Sublim Small 12x22</t>
  </si>
  <si>
    <t>Pouch Canvas Reguler Sablon Small 12x22</t>
  </si>
  <si>
    <t>Pouch Canvas Reguler sublim Small 12x22</t>
  </si>
  <si>
    <t>Pouch Twill 2/1 Sablon Small 12x22</t>
  </si>
  <si>
    <t>Pouch Twill 2/1 Sublim Small 12x22</t>
  </si>
  <si>
    <t>Pouch Jala Small 12x22</t>
  </si>
  <si>
    <t>Pouch JN Ssublim Small 12x22</t>
  </si>
  <si>
    <t>Pouch Cordura Sublim Medium (18x23)</t>
  </si>
  <si>
    <t>Taslan JN</t>
  </si>
  <si>
    <t>SKID/MEGATEX</t>
  </si>
  <si>
    <t>Pouch Canvas Premium Sablon Medium (18x23)</t>
  </si>
  <si>
    <t>82 cm = 12 Pc (include tali)</t>
  </si>
  <si>
    <t>Pouch Canvas Premium Sublim Medium (18x23)</t>
  </si>
  <si>
    <t>Pouch Canvas reguler Sablon Medium (18x23)</t>
  </si>
  <si>
    <t>83 cm = 12 Pc</t>
  </si>
  <si>
    <t>Pouch Twill 2/1 Sublim Medium (18x23)</t>
  </si>
  <si>
    <t xml:space="preserve">83 cm = 12 Pc </t>
  </si>
  <si>
    <t>Pouch Jala Medium (18x23)</t>
  </si>
  <si>
    <t>Pouch JN Medium Sublim (18x23)</t>
  </si>
  <si>
    <t>Pouch Custom</t>
  </si>
  <si>
    <t>Rashguard Premium Nylon Spandex Raglan S/S (S-XL)</t>
  </si>
  <si>
    <t>Rashguard Premium Nylon Spandex Raglan S/S (Big Size)</t>
  </si>
  <si>
    <t>tw tricot doff</t>
  </si>
  <si>
    <t>0,8 meter untuk 1 set badan</t>
  </si>
  <si>
    <t>Muliatex / Pangjaya</t>
  </si>
  <si>
    <t>Rashguard Premium Nylon Spandex Raglan L/S (S-XL)</t>
  </si>
  <si>
    <t>1 meter jadi 3</t>
  </si>
  <si>
    <t>Muliatex</t>
  </si>
  <si>
    <t>0,9 meter untuk 1 set badan</t>
  </si>
  <si>
    <t>Rashguard Premium Nylon Spandex Raglan L/S (Big Size)</t>
  </si>
  <si>
    <t>DTF logo</t>
  </si>
  <si>
    <t>100 Pc / meter (90000/meter)</t>
  </si>
  <si>
    <t>Kanebo</t>
  </si>
  <si>
    <t>0.8 meter jadi 1.5 Pc</t>
  </si>
  <si>
    <t>DTF Label</t>
  </si>
  <si>
    <t>266 PC / meter (90000/meter)</t>
  </si>
  <si>
    <t>KAnebo</t>
  </si>
  <si>
    <t>Rashguard kombinasi Sublim Nylon-poli-Spdx Raglan S/S (S-XL)</t>
  </si>
  <si>
    <t>Rashguard Kombinasi Tangan Sublim Nylon-poli-Spdx Raglan S/S (Big Size</t>
  </si>
  <si>
    <t>Poly Lycra</t>
  </si>
  <si>
    <t>Rashguard kombinasi Sublim Nylon-poli-Spdx Raglan L/S (S-XL)</t>
  </si>
  <si>
    <t>Rashguard kombinasi Sublim Nylon-poli-Spdx Raglan L/S (Big Size)</t>
  </si>
  <si>
    <t>harga per meter2 40000</t>
  </si>
  <si>
    <t>1 meter jadi 3 Pc</t>
  </si>
  <si>
    <t>Rashguard Poli-Spandex Raglan S/S (S-XL)</t>
  </si>
  <si>
    <t>Rashguard Poli-Spandex Raglan S/S (Big Size)</t>
  </si>
  <si>
    <t>Rashguard Poli-Spandex Raglan L/S (S-XL)</t>
  </si>
  <si>
    <t>Rashguard Poli-Spandex Raglan L/S (Big Size)</t>
  </si>
  <si>
    <t>Boy Short Premium Poli Spandex 4ways</t>
  </si>
  <si>
    <t>Rashguard Custom</t>
  </si>
  <si>
    <t>lycra</t>
  </si>
  <si>
    <t>0,85 yard untuk 1 set badan</t>
  </si>
  <si>
    <t>1,06 untuk 3 set tangan</t>
  </si>
  <si>
    <t>1 lusin untuk 100 Pcs</t>
  </si>
  <si>
    <t>4 cones untuk 100 Pcs</t>
  </si>
  <si>
    <t>CMT Kemeja Basic</t>
  </si>
  <si>
    <t>CMT Kemeja Basic Panjang</t>
  </si>
  <si>
    <t>Kemeja Basic Panjang +aksesories</t>
  </si>
  <si>
    <t>CMT T-shirt Basic Rantai</t>
  </si>
  <si>
    <t>CMT T-shirt Basic Stik Bahu</t>
  </si>
  <si>
    <t>CMT Polo Shirt</t>
  </si>
  <si>
    <t>CMT Jacket Basic</t>
  </si>
  <si>
    <t>CMT Jacket Basic + Aksesories</t>
  </si>
  <si>
    <t xml:space="preserve">CMT Jacket Variasi </t>
  </si>
  <si>
    <t>CMT Jacket Variasi + Aksesories</t>
  </si>
  <si>
    <t>CMT Celana</t>
  </si>
  <si>
    <t>Zipper S coil 28 Lion</t>
  </si>
  <si>
    <t>CMT Celana + aksesories</t>
  </si>
  <si>
    <t>1 lusin jadi 25Pc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</si>
</sst>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p]#,##0"/>
    <numFmt numFmtId="165" formatCode="#,##0.0"/>
    <numFmt numFmtId="166" formatCode="#,##0.000"/>
    <numFmt numFmtId="167" formatCode="#,##0.0000"/>
    <numFmt numFmtId="168" formatCode="0.000"/>
  </numFmts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1F1F1F"/>
      <name val="&quot;Google Sans&quot;"/>
    </font>
    <font>
      <b/>
      <sz val="11.0"/>
      <color rgb="FF1F1F1F"/>
      <name val="&quot;Google Sans&quot;"/>
    </font>
  </fonts>
  <fills count="1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DDE3EA"/>
        <bgColor rgb="FFDDE3EA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2" fontId="2" numFmtId="0" xfId="0" applyAlignment="1" applyBorder="1" applyFill="1" applyFont="1">
      <alignment vertical="bottom"/>
    </xf>
    <xf borderId="5" fillId="2" fontId="2" numFmtId="0" xfId="0" applyAlignment="1" applyBorder="1" applyFill="1" applyFont="1">
      <alignment horizontal="center" vertical="bottom"/>
    </xf>
    <xf borderId="6" fillId="0" fontId="3" numFmtId="0" xfId="0" applyBorder="1" applyFont="1"/>
    <xf borderId="7" fillId="0" fontId="1" numFmtId="0" xfId="0" applyAlignment="1" applyBorder="1" applyFont="1">
      <alignment vertical="bottom"/>
    </xf>
    <xf borderId="4" fillId="3" fontId="1" numFmtId="0" xfId="0" applyAlignment="1" applyBorder="1" applyFill="1" applyFont="1">
      <alignment vertical="bottom"/>
    </xf>
    <xf borderId="5" fillId="3" fontId="2" numFmtId="164" xfId="0" applyAlignment="1" applyBorder="1" applyFill="1" applyFont="1" applyNumberFormat="1">
      <alignment horizontal="center" vertical="bottom"/>
    </xf>
    <xf borderId="4" fillId="4" fontId="1" numFmtId="0" xfId="0" applyAlignment="1" applyBorder="1" applyFill="1" applyFont="1">
      <alignment vertical="bottom"/>
    </xf>
    <xf borderId="5" fillId="4" fontId="2" numFmtId="164" xfId="0" applyAlignment="1" applyBorder="1" applyFill="1" applyFont="1" applyNumberFormat="1">
      <alignment horizontal="center" vertical="bottom"/>
    </xf>
    <xf borderId="4" fillId="5" fontId="1" numFmtId="0" xfId="0" applyAlignment="1" applyBorder="1" applyFill="1" applyFont="1">
      <alignment vertical="bottom"/>
    </xf>
    <xf borderId="5" fillId="5" fontId="2" numFmtId="164" xfId="0" applyAlignment="1" applyBorder="1" applyFill="1" applyFont="1" applyNumberFormat="1">
      <alignment horizontal="center" vertical="bottom"/>
    </xf>
    <xf borderId="5" fillId="2" fontId="2" numFmtId="164" xfId="0" applyAlignment="1" applyBorder="1" applyFill="1" applyFont="1" applyNumberFormat="1">
      <alignment horizontal="center" vertical="bottom"/>
    </xf>
    <xf borderId="8" fillId="0" fontId="1" numFmtId="0" xfId="0" applyAlignment="1" applyBorder="1" applyFont="1">
      <alignment vertical="bottom"/>
    </xf>
    <xf borderId="0" fillId="3" fontId="2" numFmtId="0" xfId="0" applyAlignment="1" applyFill="1" applyFont="1">
      <alignment horizontal="center" vertical="bottom"/>
    </xf>
    <xf borderId="0" fillId="3" fontId="1" numFmtId="0" xfId="0" applyAlignment="1" applyFill="1" applyFont="1">
      <alignment vertical="bottom"/>
    </xf>
    <xf borderId="0" fillId="6" fontId="2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7" fontId="1" numFmtId="4" xfId="0" applyAlignment="1" applyFill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8" fontId="1" numFmtId="164" xfId="0" applyAlignment="1" applyFill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4" fontId="2" numFmtId="0" xfId="0" applyAlignment="1" applyFill="1" applyFont="1">
      <alignment horizontal="center" vertical="bottom"/>
    </xf>
    <xf borderId="0" fillId="4" fontId="1" numFmtId="0" xfId="0" applyAlignment="1" applyFill="1" applyFont="1">
      <alignment vertical="bottom"/>
    </xf>
    <xf borderId="0" fillId="9" fontId="2" numFmtId="0" xfId="0" applyAlignment="1" applyFill="1" applyFont="1">
      <alignment horizontal="center" vertical="bottom"/>
    </xf>
    <xf borderId="0" fillId="7" fontId="1" numFmtId="3" xfId="0" applyAlignment="1" applyFill="1" applyFont="1" applyNumberForma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5" fontId="1" numFmtId="0" xfId="0" applyAlignment="1" applyFill="1" applyFont="1">
      <alignment vertical="bottom"/>
    </xf>
    <xf borderId="0" fillId="10" fontId="2" numFmtId="0" xfId="0" applyAlignment="1" applyFill="1" applyFont="1">
      <alignment horizontal="center" vertical="bottom"/>
    </xf>
    <xf borderId="0" fillId="10" fontId="1" numFmtId="0" xfId="0" applyAlignment="1" applyFill="1" applyFont="1">
      <alignment vertical="bottom"/>
    </xf>
    <xf borderId="0" fillId="8" fontId="1" numFmtId="0" xfId="0" applyAlignment="1" applyFill="1" applyFont="1">
      <alignment vertical="bottom"/>
    </xf>
    <xf borderId="0" fillId="0" fontId="1" numFmtId="3" xfId="0" applyAlignment="1" applyFont="1" applyNumberFormat="1">
      <alignment horizontal="center" vertical="bottom"/>
    </xf>
    <xf borderId="0" fillId="8" fontId="1" numFmtId="0" xfId="0" applyAlignment="1" applyFill="1" applyFont="1">
      <alignment vertical="bottom"/>
    </xf>
    <xf borderId="1" fillId="0" fontId="4" numFmtId="0" xfId="0" applyAlignment="1" applyBorder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8" fontId="5" numFmtId="164" xfId="0" applyAlignment="1" applyFill="1" applyFont="1" applyNumberForma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vertical="bottom"/>
    </xf>
    <xf borderId="0" fillId="9" fontId="2" numFmtId="4" xfId="0" applyAlignment="1" applyFill="1" applyFont="1" applyNumberFormat="1">
      <alignment horizontal="center" vertical="bottom"/>
    </xf>
    <xf borderId="0" fillId="9" fontId="2" numFmtId="164" xfId="0" applyAlignment="1" applyFill="1" applyFont="1" applyNumberFormat="1">
      <alignment horizontal="center" vertical="bottom"/>
    </xf>
    <xf borderId="0" fillId="9" fontId="2" numFmtId="0" xfId="0" applyAlignment="1" applyFill="1" applyFont="1">
      <alignment horizontal="center" vertical="bottom"/>
    </xf>
    <xf borderId="0" fillId="10" fontId="2" numFmtId="3" xfId="0" applyAlignment="1" applyFill="1" applyFont="1" applyNumberFormat="1">
      <alignment horizontal="center" vertical="bottom"/>
    </xf>
    <xf borderId="0" fillId="10" fontId="2" numFmtId="0" xfId="0" applyAlignment="1" applyFill="1" applyFont="1">
      <alignment horizontal="center" vertical="bottom"/>
    </xf>
    <xf borderId="0" fillId="10" fontId="2" numFmtId="164" xfId="0" applyAlignment="1" applyFill="1" applyFont="1" applyNumberFormat="1">
      <alignment horizontal="center" vertical="bottom"/>
    </xf>
    <xf borderId="4" fillId="2" fontId="2" numFmtId="0" xfId="0" applyAlignment="1" applyBorder="1" applyFill="1" applyFont="1">
      <alignment readingOrder="0" vertical="bottom"/>
    </xf>
    <xf borderId="0" fillId="7" fontId="1" numFmtId="164" xfId="0" applyAlignment="1" applyFill="1" applyFont="1" applyNumberFormat="1">
      <alignment horizontal="center" vertical="bottom"/>
    </xf>
    <xf borderId="0" fillId="7" fontId="1" numFmtId="0" xfId="0" applyAlignment="1" applyFill="1" applyFont="1">
      <alignment vertical="bottom"/>
    </xf>
    <xf borderId="0" fillId="8" fontId="1" numFmtId="164" xfId="0" applyAlignment="1" applyFill="1" applyFont="1" applyNumberFormat="1">
      <alignment horizontal="center" readingOrder="0" vertical="bottom"/>
    </xf>
    <xf borderId="0" fillId="7" fontId="1" numFmtId="0" xfId="0" applyAlignment="1" applyFill="1" applyFont="1">
      <alignment horizontal="center" readingOrder="0" vertical="bottom"/>
    </xf>
    <xf borderId="0" fillId="7" fontId="1" numFmtId="4" xfId="0" applyAlignment="1" applyFill="1" applyFont="1" applyNumberFormat="1">
      <alignment vertical="bottom"/>
    </xf>
    <xf borderId="0" fillId="7" fontId="1" numFmtId="164" xfId="0" applyAlignment="1" applyFill="1" applyFont="1" applyNumberFormat="1">
      <alignment vertical="bottom"/>
    </xf>
    <xf borderId="2" fillId="0" fontId="4" numFmtId="0" xfId="0" applyAlignment="1" applyBorder="1" applyFont="1">
      <alignment horizontal="center" readingOrder="0"/>
    </xf>
    <xf borderId="0" fillId="7" fontId="1" numFmtId="165" xfId="0" applyAlignment="1" applyFill="1" applyFont="1" applyNumberFormat="1">
      <alignment horizontal="center" vertical="bottom"/>
    </xf>
    <xf borderId="3" fillId="0" fontId="4" numFmtId="0" xfId="0" applyAlignment="1" applyBorder="1" applyFont="1">
      <alignment horizontal="center" readingOrder="0"/>
    </xf>
    <xf borderId="0" fillId="7" fontId="1" numFmtId="3" xfId="0" applyAlignment="1" applyFill="1" applyFont="1" applyNumberFormat="1">
      <alignment vertical="bottom"/>
    </xf>
    <xf borderId="0" fillId="0" fontId="1" numFmtId="164" xfId="0" applyAlignment="1" applyFont="1" applyNumberFormat="1">
      <alignment vertical="bottom"/>
    </xf>
    <xf borderId="4" fillId="2" fontId="4" numFmtId="0" xfId="0" applyAlignment="1" applyBorder="1" applyFill="1" applyFont="1">
      <alignment horizontal="left" readingOrder="0"/>
    </xf>
    <xf borderId="5" fillId="2" fontId="4" numFmtId="0" xfId="0" applyAlignment="1" applyBorder="1" applyFill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4" fillId="3" fontId="5" numFmtId="0" xfId="0" applyAlignment="1" applyBorder="1" applyFill="1" applyFont="1">
      <alignment horizontal="left" readingOrder="0"/>
    </xf>
    <xf borderId="5" fillId="3" fontId="4" numFmtId="164" xfId="0" applyAlignment="1" applyBorder="1" applyFill="1" applyFont="1" applyNumberFormat="1">
      <alignment horizontal="center" readingOrder="0"/>
    </xf>
    <xf borderId="4" fillId="4" fontId="5" numFmtId="0" xfId="0" applyAlignment="1" applyBorder="1" applyFill="1" applyFont="1">
      <alignment horizontal="left" readingOrder="0"/>
    </xf>
    <xf borderId="0" fillId="0" fontId="1" numFmtId="3" xfId="0" applyAlignment="1" applyFont="1" applyNumberFormat="1">
      <alignment vertical="bottom"/>
    </xf>
    <xf borderId="5" fillId="4" fontId="4" numFmtId="164" xfId="0" applyAlignment="1" applyBorder="1" applyFill="1" applyFont="1" applyNumberFormat="1">
      <alignment horizontal="center" readingOrder="0"/>
    </xf>
    <xf borderId="4" fillId="5" fontId="5" numFmtId="0" xfId="0" applyAlignment="1" applyBorder="1" applyFill="1" applyFont="1">
      <alignment horizontal="left" readingOrder="0"/>
    </xf>
    <xf borderId="5" fillId="5" fontId="4" numFmtId="164" xfId="0" applyAlignment="1" applyBorder="1" applyFill="1" applyFont="1" applyNumberFormat="1">
      <alignment horizontal="center" readingOrder="0"/>
    </xf>
    <xf borderId="5" fillId="2" fontId="4" numFmtId="164" xfId="0" applyAlignment="1" applyBorder="1" applyFill="1" applyFont="1" applyNumberFormat="1">
      <alignment horizontal="center" readingOrder="0"/>
    </xf>
    <xf borderId="8" fillId="0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7" fontId="5" numFmtId="4" xfId="0" applyAlignment="1" applyFill="1" applyFont="1" applyNumberForma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7" fontId="5" numFmtId="164" xfId="0" applyAlignment="1" applyFill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horizontal="center" readingOrder="0"/>
    </xf>
    <xf borderId="0" fillId="7" fontId="5" numFmtId="165" xfId="0" applyAlignment="1" applyFill="1" applyFont="1" applyNumberFormat="1">
      <alignment horizontal="center" readingOrder="0"/>
    </xf>
    <xf borderId="0" fillId="7" fontId="5" numFmtId="3" xfId="0" applyAlignment="1" applyFill="1" applyFont="1" applyNumberFormat="1">
      <alignment horizontal="center" readingOrder="0"/>
    </xf>
    <xf borderId="0" fillId="10" fontId="4" numFmtId="0" xfId="0" applyAlignment="1" applyFill="1" applyFont="1">
      <alignment horizontal="center"/>
    </xf>
    <xf borderId="0" fillId="10" fontId="5" numFmtId="0" xfId="0" applyFill="1" applyFont="1"/>
    <xf borderId="0" fillId="8" fontId="5" numFmtId="0" xfId="0" applyAlignment="1" applyFill="1" applyFont="1">
      <alignment horizontal="center"/>
    </xf>
    <xf borderId="0" fillId="0" fontId="5" numFmtId="3" xfId="0" applyAlignment="1" applyFont="1" applyNumberFormat="1">
      <alignment horizontal="center" readingOrder="0"/>
    </xf>
    <xf borderId="0" fillId="8" fontId="5" numFmtId="0" xfId="0" applyFill="1" applyFont="1"/>
    <xf borderId="0" fillId="8" fontId="5" numFmtId="0" xfId="0" applyAlignment="1" applyFill="1" applyFont="1">
      <alignment horizontal="center" readingOrder="0"/>
    </xf>
    <xf borderId="5" fillId="3" fontId="4" numFmtId="164" xfId="0" applyAlignment="1" applyBorder="1" applyFill="1" applyFont="1" applyNumberFormat="1">
      <alignment horizontal="center" readingOrder="0"/>
    </xf>
    <xf borderId="5" fillId="4" fontId="4" numFmtId="164" xfId="0" applyAlignment="1" applyBorder="1" applyFill="1" applyFont="1" applyNumberFormat="1">
      <alignment horizontal="center" readingOrder="0"/>
    </xf>
    <xf borderId="5" fillId="5" fontId="4" numFmtId="164" xfId="0" applyAlignment="1" applyBorder="1" applyFill="1" applyFont="1" applyNumberFormat="1">
      <alignment horizontal="center" readingOrder="0"/>
    </xf>
    <xf borderId="5" fillId="2" fontId="4" numFmtId="164" xfId="0" applyAlignment="1" applyBorder="1" applyFill="1" applyFont="1" applyNumberFormat="1">
      <alignment horizontal="center" readingOrder="0"/>
    </xf>
    <xf borderId="0" fillId="7" fontId="5" numFmtId="166" xfId="0" applyAlignment="1" applyFill="1" applyFont="1" applyNumberFormat="1">
      <alignment horizontal="center" readingOrder="0"/>
    </xf>
    <xf borderId="0" fillId="8" fontId="5" numFmtId="164" xfId="0" applyAlignment="1" applyFill="1" applyFont="1" applyNumberFormat="1">
      <alignment horizontal="center" readingOrder="0"/>
    </xf>
    <xf borderId="0" fillId="11" fontId="6" numFmtId="0" xfId="0" applyAlignment="1" applyFill="1" applyFont="1">
      <alignment readingOrder="0"/>
    </xf>
    <xf borderId="5" fillId="3" fontId="2" numFmtId="164" xfId="0" applyAlignment="1" applyBorder="1" applyFill="1" applyFont="1" applyNumberFormat="1">
      <alignment horizontal="center" vertical="bottom"/>
    </xf>
    <xf borderId="5" fillId="4" fontId="2" numFmtId="164" xfId="0" applyAlignment="1" applyBorder="1" applyFill="1" applyFont="1" applyNumberFormat="1">
      <alignment horizontal="center" vertical="bottom"/>
    </xf>
    <xf borderId="5" fillId="5" fontId="2" numFmtId="164" xfId="0" applyAlignment="1" applyBorder="1" applyFill="1" applyFont="1" applyNumberFormat="1">
      <alignment horizontal="center" vertical="bottom"/>
    </xf>
    <xf borderId="5" fillId="2" fontId="2" numFmtId="164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7" fontId="1" numFmtId="164" xfId="0" applyAlignment="1" applyFill="1" applyFont="1" applyNumberFormat="1">
      <alignment horizontal="center" readingOrder="0" vertical="bottom"/>
    </xf>
    <xf borderId="0" fillId="7" fontId="1" numFmtId="166" xfId="0" applyAlignment="1" applyFill="1" applyFont="1" applyNumberFormat="1">
      <alignment horizontal="center" vertical="bottom"/>
    </xf>
    <xf borderId="0" fillId="8" fontId="1" numFmtId="164" xfId="0" applyAlignment="1" applyFill="1" applyFont="1" applyNumberFormat="1">
      <alignment horizontal="center" vertical="bottom"/>
    </xf>
    <xf quotePrefix="1" borderId="0" fillId="0" fontId="5" numFmtId="0" xfId="0" applyAlignment="1" applyFont="1">
      <alignment horizontal="center" readingOrder="0"/>
    </xf>
    <xf borderId="0" fillId="7" fontId="5" numFmtId="167" xfId="0" applyAlignment="1" applyFill="1" applyFont="1" applyNumberFormat="1">
      <alignment horizontal="center" readingOrder="0"/>
    </xf>
    <xf borderId="0" fillId="7" fontId="1" numFmtId="167" xfId="0" applyAlignment="1" applyFill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0" fillId="8" fontId="1" numFmtId="0" xfId="0" applyAlignment="1" applyFill="1" applyFont="1">
      <alignment horizontal="center" vertical="bottom"/>
    </xf>
    <xf borderId="0" fillId="7" fontId="1" numFmtId="4" xfId="0" applyAlignment="1" applyFill="1" applyFont="1" applyNumberFormat="1">
      <alignment horizontal="center" readingOrder="0" vertical="bottom"/>
    </xf>
    <xf borderId="0" fillId="7" fontId="1" numFmtId="165" xfId="0" applyAlignment="1" applyFill="1" applyFont="1" applyNumberFormat="1">
      <alignment horizontal="center" readingOrder="0" vertical="bottom"/>
    </xf>
    <xf borderId="0" fillId="7" fontId="5" numFmtId="0" xfId="0" applyFill="1" applyFont="1"/>
    <xf borderId="9" fillId="0" fontId="6" numFmtId="0" xfId="0" applyAlignment="1" applyBorder="1" applyFont="1">
      <alignment readingOrder="0"/>
    </xf>
    <xf borderId="10" fillId="2" fontId="4" numFmtId="0" xfId="0" applyAlignment="1" applyBorder="1" applyFill="1" applyFont="1">
      <alignment horizontal="center" readingOrder="0"/>
    </xf>
    <xf borderId="11" fillId="0" fontId="3" numFmtId="0" xfId="0" applyBorder="1" applyFont="1"/>
    <xf borderId="9" fillId="3" fontId="5" numFmtId="0" xfId="0" applyAlignment="1" applyBorder="1" applyFill="1" applyFont="1">
      <alignment horizontal="left" readingOrder="0"/>
    </xf>
    <xf borderId="10" fillId="3" fontId="4" numFmtId="164" xfId="0" applyAlignment="1" applyBorder="1" applyFill="1" applyFont="1" applyNumberFormat="1">
      <alignment horizontal="center" readingOrder="0"/>
    </xf>
    <xf borderId="9" fillId="4" fontId="5" numFmtId="0" xfId="0" applyAlignment="1" applyBorder="1" applyFill="1" applyFont="1">
      <alignment horizontal="left" readingOrder="0"/>
    </xf>
    <xf borderId="10" fillId="4" fontId="4" numFmtId="164" xfId="0" applyAlignment="1" applyBorder="1" applyFill="1" applyFont="1" applyNumberFormat="1">
      <alignment horizontal="center" readingOrder="0"/>
    </xf>
    <xf borderId="9" fillId="5" fontId="5" numFmtId="0" xfId="0" applyAlignment="1" applyBorder="1" applyFill="1" applyFont="1">
      <alignment horizontal="left" readingOrder="0"/>
    </xf>
    <xf borderId="10" fillId="5" fontId="4" numFmtId="164" xfId="0" applyAlignment="1" applyBorder="1" applyFill="1" applyFont="1" applyNumberFormat="1">
      <alignment horizontal="center" readingOrder="0"/>
    </xf>
    <xf borderId="9" fillId="2" fontId="4" numFmtId="0" xfId="0" applyAlignment="1" applyBorder="1" applyFill="1" applyFont="1">
      <alignment horizontal="left" readingOrder="0"/>
    </xf>
    <xf borderId="10" fillId="2" fontId="4" numFmtId="164" xfId="0" applyAlignment="1" applyBorder="1" applyFill="1" applyFont="1" applyNumberFormat="1">
      <alignment horizontal="center" readingOrder="0"/>
    </xf>
    <xf borderId="0" fillId="8" fontId="5" numFmtId="1" xfId="0" applyAlignment="1" applyFill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12" fontId="5" numFmtId="164" xfId="0" applyAlignment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readingOrder="0"/>
    </xf>
    <xf quotePrefix="1" borderId="4" fillId="3" fontId="5" numFmtId="0" xfId="0" applyAlignment="1" applyBorder="1" applyFill="1" applyFont="1">
      <alignment horizontal="left" readingOrder="0"/>
    </xf>
    <xf borderId="0" fillId="13" fontId="5" numFmtId="164" xfId="0" applyAlignment="1" applyFill="1" applyFont="1" applyNumberFormat="1">
      <alignment horizontal="center" readingOrder="0"/>
    </xf>
    <xf borderId="0" fillId="7" fontId="5" numFmtId="168" xfId="0" applyAlignment="1" applyFill="1" applyFont="1" applyNumberForma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12" fontId="5" numFmtId="0" xfId="0" applyAlignment="1" applyFill="1" applyFont="1">
      <alignment horizontal="center" readingOrder="0"/>
    </xf>
    <xf borderId="0" fillId="7" fontId="1" numFmtId="168" xfId="0" applyAlignment="1" applyFill="1" applyFont="1" applyNumberFormat="1">
      <alignment horizontal="center" vertical="bottom"/>
    </xf>
    <xf borderId="0" fillId="13" fontId="1" numFmtId="0" xfId="0" applyAlignment="1" applyFill="1" applyFont="1">
      <alignment horizontal="center" vertical="bottom"/>
    </xf>
    <xf borderId="0" fillId="11" fontId="7" numFmtId="0" xfId="0" applyAlignment="1" applyFill="1" applyFont="1">
      <alignment readingOrder="0"/>
    </xf>
    <xf borderId="0" fillId="0" fontId="1" numFmtId="164" xfId="0" applyAlignment="1" applyFont="1" applyNumberFormat="1">
      <alignment readingOrder="0" vertical="bottom"/>
    </xf>
    <xf borderId="0" fillId="7" fontId="1" numFmtId="166" xfId="0" applyAlignment="1" applyFill="1" applyFont="1" applyNumberFormat="1">
      <alignment horizontal="center" readingOrder="0" vertical="bottom"/>
    </xf>
    <xf borderId="0" fillId="0" fontId="1" numFmtId="3" xfId="0" applyAlignment="1" applyFont="1" applyNumberFormat="1">
      <alignment horizontal="center" readingOrder="0" vertical="bottom"/>
    </xf>
    <xf borderId="0" fillId="7" fontId="1" numFmtId="3" xfId="0" applyAlignment="1" applyFill="1" applyFont="1" applyNumberForma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252" Type="http://schemas.openxmlformats.org/officeDocument/2006/relationships/worksheet" Target="worksheets/sheet248.xml"/><Relationship Id="rId130" Type="http://schemas.openxmlformats.org/officeDocument/2006/relationships/worksheet" Target="worksheets/sheet126.xml"/><Relationship Id="rId251" Type="http://schemas.openxmlformats.org/officeDocument/2006/relationships/worksheet" Target="worksheets/sheet247.xml"/><Relationship Id="rId250" Type="http://schemas.openxmlformats.org/officeDocument/2006/relationships/worksheet" Target="worksheets/sheet24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228" Type="http://schemas.openxmlformats.org/officeDocument/2006/relationships/worksheet" Target="worksheets/sheet224.xml"/><Relationship Id="rId106" Type="http://schemas.openxmlformats.org/officeDocument/2006/relationships/worksheet" Target="worksheets/sheet102.xml"/><Relationship Id="rId227" Type="http://schemas.openxmlformats.org/officeDocument/2006/relationships/worksheet" Target="worksheets/sheet223.xml"/><Relationship Id="rId105" Type="http://schemas.openxmlformats.org/officeDocument/2006/relationships/worksheet" Target="worksheets/sheet101.xml"/><Relationship Id="rId226" Type="http://schemas.openxmlformats.org/officeDocument/2006/relationships/worksheet" Target="worksheets/sheet222.xml"/><Relationship Id="rId104" Type="http://schemas.openxmlformats.org/officeDocument/2006/relationships/worksheet" Target="worksheets/sheet100.xml"/><Relationship Id="rId225" Type="http://schemas.openxmlformats.org/officeDocument/2006/relationships/worksheet" Target="worksheets/sheet221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9" Type="http://schemas.openxmlformats.org/officeDocument/2006/relationships/worksheet" Target="worksheets/sheet225.xml"/><Relationship Id="rId220" Type="http://schemas.openxmlformats.org/officeDocument/2006/relationships/worksheet" Target="worksheets/sheet216.xml"/><Relationship Id="rId103" Type="http://schemas.openxmlformats.org/officeDocument/2006/relationships/worksheet" Target="worksheets/sheet99.xml"/><Relationship Id="rId224" Type="http://schemas.openxmlformats.org/officeDocument/2006/relationships/worksheet" Target="worksheets/sheet220.xml"/><Relationship Id="rId102" Type="http://schemas.openxmlformats.org/officeDocument/2006/relationships/worksheet" Target="worksheets/sheet98.xml"/><Relationship Id="rId223" Type="http://schemas.openxmlformats.org/officeDocument/2006/relationships/worksheet" Target="worksheets/sheet219.xml"/><Relationship Id="rId101" Type="http://schemas.openxmlformats.org/officeDocument/2006/relationships/worksheet" Target="worksheets/sheet97.xml"/><Relationship Id="rId222" Type="http://schemas.openxmlformats.org/officeDocument/2006/relationships/worksheet" Target="worksheets/sheet218.xml"/><Relationship Id="rId100" Type="http://schemas.openxmlformats.org/officeDocument/2006/relationships/worksheet" Target="worksheets/sheet96.xml"/><Relationship Id="rId221" Type="http://schemas.openxmlformats.org/officeDocument/2006/relationships/worksheet" Target="worksheets/sheet217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249" Type="http://schemas.openxmlformats.org/officeDocument/2006/relationships/worksheet" Target="worksheets/sheet245.xml"/><Relationship Id="rId127" Type="http://schemas.openxmlformats.org/officeDocument/2006/relationships/worksheet" Target="worksheets/sheet123.xml"/><Relationship Id="rId248" Type="http://schemas.openxmlformats.org/officeDocument/2006/relationships/worksheet" Target="worksheets/sheet244.xml"/><Relationship Id="rId126" Type="http://schemas.openxmlformats.org/officeDocument/2006/relationships/worksheet" Target="worksheets/sheet122.xml"/><Relationship Id="rId247" Type="http://schemas.openxmlformats.org/officeDocument/2006/relationships/worksheet" Target="worksheets/sheet243.xml"/><Relationship Id="rId121" Type="http://schemas.openxmlformats.org/officeDocument/2006/relationships/worksheet" Target="worksheets/sheet117.xml"/><Relationship Id="rId242" Type="http://schemas.openxmlformats.org/officeDocument/2006/relationships/worksheet" Target="worksheets/sheet238.xml"/><Relationship Id="rId120" Type="http://schemas.openxmlformats.org/officeDocument/2006/relationships/worksheet" Target="worksheets/sheet116.xml"/><Relationship Id="rId241" Type="http://schemas.openxmlformats.org/officeDocument/2006/relationships/worksheet" Target="worksheets/sheet237.xml"/><Relationship Id="rId240" Type="http://schemas.openxmlformats.org/officeDocument/2006/relationships/worksheet" Target="worksheets/sheet236.xml"/><Relationship Id="rId125" Type="http://schemas.openxmlformats.org/officeDocument/2006/relationships/worksheet" Target="worksheets/sheet121.xml"/><Relationship Id="rId246" Type="http://schemas.openxmlformats.org/officeDocument/2006/relationships/worksheet" Target="worksheets/sheet242.xml"/><Relationship Id="rId124" Type="http://schemas.openxmlformats.org/officeDocument/2006/relationships/worksheet" Target="worksheets/sheet120.xml"/><Relationship Id="rId245" Type="http://schemas.openxmlformats.org/officeDocument/2006/relationships/worksheet" Target="worksheets/sheet241.xml"/><Relationship Id="rId123" Type="http://schemas.openxmlformats.org/officeDocument/2006/relationships/worksheet" Target="worksheets/sheet119.xml"/><Relationship Id="rId244" Type="http://schemas.openxmlformats.org/officeDocument/2006/relationships/worksheet" Target="worksheets/sheet240.xml"/><Relationship Id="rId122" Type="http://schemas.openxmlformats.org/officeDocument/2006/relationships/worksheet" Target="worksheets/sheet118.xml"/><Relationship Id="rId243" Type="http://schemas.openxmlformats.org/officeDocument/2006/relationships/worksheet" Target="worksheets/sheet239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239" Type="http://schemas.openxmlformats.org/officeDocument/2006/relationships/worksheet" Target="worksheets/sheet235.xml"/><Relationship Id="rId117" Type="http://schemas.openxmlformats.org/officeDocument/2006/relationships/worksheet" Target="worksheets/sheet113.xml"/><Relationship Id="rId238" Type="http://schemas.openxmlformats.org/officeDocument/2006/relationships/worksheet" Target="worksheets/sheet234.xml"/><Relationship Id="rId116" Type="http://schemas.openxmlformats.org/officeDocument/2006/relationships/worksheet" Target="worksheets/sheet112.xml"/><Relationship Id="rId237" Type="http://schemas.openxmlformats.org/officeDocument/2006/relationships/worksheet" Target="worksheets/sheet233.xml"/><Relationship Id="rId115" Type="http://schemas.openxmlformats.org/officeDocument/2006/relationships/worksheet" Target="worksheets/sheet111.xml"/><Relationship Id="rId236" Type="http://schemas.openxmlformats.org/officeDocument/2006/relationships/worksheet" Target="worksheets/sheet232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231" Type="http://schemas.openxmlformats.org/officeDocument/2006/relationships/worksheet" Target="worksheets/sheet227.xml"/><Relationship Id="rId230" Type="http://schemas.openxmlformats.org/officeDocument/2006/relationships/worksheet" Target="worksheets/sheet226.xml"/><Relationship Id="rId114" Type="http://schemas.openxmlformats.org/officeDocument/2006/relationships/worksheet" Target="worksheets/sheet110.xml"/><Relationship Id="rId235" Type="http://schemas.openxmlformats.org/officeDocument/2006/relationships/worksheet" Target="worksheets/sheet231.xml"/><Relationship Id="rId113" Type="http://schemas.openxmlformats.org/officeDocument/2006/relationships/worksheet" Target="worksheets/sheet109.xml"/><Relationship Id="rId234" Type="http://schemas.openxmlformats.org/officeDocument/2006/relationships/worksheet" Target="worksheets/sheet230.xml"/><Relationship Id="rId112" Type="http://schemas.openxmlformats.org/officeDocument/2006/relationships/worksheet" Target="worksheets/sheet108.xml"/><Relationship Id="rId233" Type="http://schemas.openxmlformats.org/officeDocument/2006/relationships/worksheet" Target="worksheets/sheet229.xml"/><Relationship Id="rId111" Type="http://schemas.openxmlformats.org/officeDocument/2006/relationships/worksheet" Target="worksheets/sheet107.xml"/><Relationship Id="rId232" Type="http://schemas.openxmlformats.org/officeDocument/2006/relationships/worksheet" Target="worksheets/sheet228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8.0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2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SUM('249 T-shirt Custom'!J10:J11)</f>
        <v>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SUM('249 T-shirt Custom'!J14:J20)</f>
        <v>1578.7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SUM('249 T-shirt Custom'!J24:J27)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8828.7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</sheetData>
  <mergeCells count="5">
    <mergeCell ref="C2:D2"/>
    <mergeCell ref="C3:D3"/>
    <mergeCell ref="C4:D4"/>
    <mergeCell ref="C5:D5"/>
    <mergeCell ref="C6:D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8.0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5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26225.3913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4078.7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37554.0913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30</v>
      </c>
      <c r="C10" s="19" t="s">
        <v>21</v>
      </c>
      <c r="D10" s="21">
        <f>1/4.6</f>
        <v>0.2173913043</v>
      </c>
      <c r="E10" s="19" t="s">
        <v>23</v>
      </c>
      <c r="F10" s="19" t="s">
        <v>24</v>
      </c>
      <c r="G10" s="19" t="s">
        <v>25</v>
      </c>
      <c r="H10" s="22">
        <v>116000.0</v>
      </c>
      <c r="I10" s="20"/>
      <c r="J10" s="23">
        <f t="shared" ref="J10:J11" si="1">D10*H10</f>
        <v>25217.3913</v>
      </c>
    </row>
    <row r="11">
      <c r="A11" s="19">
        <v>2.0</v>
      </c>
      <c r="B11" s="20" t="s">
        <v>34</v>
      </c>
      <c r="C11" s="19" t="s">
        <v>21</v>
      </c>
      <c r="D11" s="21">
        <f>1/125</f>
        <v>0.008</v>
      </c>
      <c r="E11" s="19" t="s">
        <v>23</v>
      </c>
      <c r="F11" s="19" t="s">
        <v>29</v>
      </c>
      <c r="G11" s="19" t="s">
        <v>25</v>
      </c>
      <c r="H11" s="22">
        <v>126000.0</v>
      </c>
      <c r="I11" s="24"/>
      <c r="J11" s="23">
        <f t="shared" si="1"/>
        <v>1008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4/100</f>
        <v>0.04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1000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59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62</v>
      </c>
      <c r="H20" s="22">
        <v>2500.0</v>
      </c>
      <c r="I20" s="24"/>
      <c r="J20" s="23">
        <f t="shared" si="2"/>
        <v>2500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5.88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1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30451.82609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5328.7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6750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42530.52609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22</v>
      </c>
      <c r="C10" s="19" t="s">
        <v>21</v>
      </c>
      <c r="D10" s="21">
        <f>1/4.6</f>
        <v>0.2173913043</v>
      </c>
      <c r="E10" s="19" t="s">
        <v>23</v>
      </c>
      <c r="F10" s="19" t="s">
        <v>24</v>
      </c>
      <c r="G10" s="19" t="s">
        <v>26</v>
      </c>
      <c r="H10" s="22">
        <v>135000.0</v>
      </c>
      <c r="I10" s="20"/>
      <c r="J10" s="23">
        <f t="shared" ref="J10:J11" si="1">D10*H10</f>
        <v>29347.82609</v>
      </c>
    </row>
    <row r="11">
      <c r="A11" s="19">
        <v>2.0</v>
      </c>
      <c r="B11" s="20" t="s">
        <v>28</v>
      </c>
      <c r="C11" s="19" t="s">
        <v>21</v>
      </c>
      <c r="D11" s="21">
        <f>1/125</f>
        <v>0.008</v>
      </c>
      <c r="E11" s="19" t="s">
        <v>23</v>
      </c>
      <c r="F11" s="19" t="s">
        <v>29</v>
      </c>
      <c r="G11" s="19" t="s">
        <v>26</v>
      </c>
      <c r="H11" s="22">
        <v>138000.0</v>
      </c>
      <c r="I11" s="24"/>
      <c r="J11" s="23">
        <f t="shared" si="1"/>
        <v>1104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4/100</f>
        <v>0.04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1000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57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61</v>
      </c>
      <c r="H20" s="22">
        <v>3750.0</v>
      </c>
      <c r="I20" s="24"/>
      <c r="J20" s="23">
        <f t="shared" si="2"/>
        <v>3750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1500.0</v>
      </c>
      <c r="I24" s="33"/>
      <c r="J24" s="23">
        <f t="shared" si="3"/>
        <v>1500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8.0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0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26225.3913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5328.7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6750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38304.0913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20</v>
      </c>
      <c r="C10" s="19" t="s">
        <v>21</v>
      </c>
      <c r="D10" s="21">
        <f>1/4.6</f>
        <v>0.2173913043</v>
      </c>
      <c r="E10" s="19" t="s">
        <v>23</v>
      </c>
      <c r="F10" s="19" t="s">
        <v>24</v>
      </c>
      <c r="G10" s="19" t="s">
        <v>25</v>
      </c>
      <c r="H10" s="22">
        <v>116000.0</v>
      </c>
      <c r="I10" s="20"/>
      <c r="J10" s="23">
        <f t="shared" ref="J10:J11" si="1">D10*H10</f>
        <v>25217.3913</v>
      </c>
    </row>
    <row r="11">
      <c r="A11" s="19">
        <v>2.0</v>
      </c>
      <c r="B11" s="20" t="s">
        <v>27</v>
      </c>
      <c r="C11" s="19" t="s">
        <v>21</v>
      </c>
      <c r="D11" s="21">
        <f>1/125</f>
        <v>0.008</v>
      </c>
      <c r="E11" s="19" t="s">
        <v>23</v>
      </c>
      <c r="F11" s="19" t="s">
        <v>29</v>
      </c>
      <c r="G11" s="19" t="s">
        <v>25</v>
      </c>
      <c r="H11" s="22">
        <v>126000.0</v>
      </c>
      <c r="I11" s="24"/>
      <c r="J11" s="23">
        <f t="shared" si="1"/>
        <v>1008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4/100</f>
        <v>0.04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1000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57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61</v>
      </c>
      <c r="H20" s="22">
        <v>3750.0</v>
      </c>
      <c r="I20" s="24"/>
      <c r="J20" s="23">
        <f t="shared" si="2"/>
        <v>3750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1500.0</v>
      </c>
      <c r="I24" s="33"/>
      <c r="J24" s="23">
        <f t="shared" si="3"/>
        <v>1500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5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36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39951.42857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4078.7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51280.12857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67</v>
      </c>
      <c r="C10" s="19" t="s">
        <v>21</v>
      </c>
      <c r="D10" s="21">
        <f>1/3.5</f>
        <v>0.2857142857</v>
      </c>
      <c r="E10" s="19" t="s">
        <v>23</v>
      </c>
      <c r="F10" s="19" t="s">
        <v>70</v>
      </c>
      <c r="G10" s="19" t="s">
        <v>26</v>
      </c>
      <c r="H10" s="22">
        <v>135000.0</v>
      </c>
      <c r="I10" s="20"/>
      <c r="J10" s="23">
        <f t="shared" ref="J10:J11" si="1">D10*H10</f>
        <v>38571.42857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19" t="s">
        <v>73</v>
      </c>
      <c r="G11" s="19" t="s">
        <v>26</v>
      </c>
      <c r="H11" s="22">
        <v>138000.0</v>
      </c>
      <c r="I11" s="24"/>
      <c r="J11" s="23">
        <f t="shared" si="1"/>
        <v>1380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4/100</f>
        <v>0.04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1000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59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62</v>
      </c>
      <c r="H20" s="22">
        <v>2500.0</v>
      </c>
      <c r="I20" s="24"/>
      <c r="J20" s="23">
        <f t="shared" si="2"/>
        <v>2500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5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74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34402.85714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4078.7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45731.55714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30</v>
      </c>
      <c r="C10" s="19" t="s">
        <v>21</v>
      </c>
      <c r="D10" s="21">
        <f>1/3.5</f>
        <v>0.2857142857</v>
      </c>
      <c r="E10" s="19" t="s">
        <v>23</v>
      </c>
      <c r="F10" s="19" t="s">
        <v>70</v>
      </c>
      <c r="G10" s="19" t="s">
        <v>25</v>
      </c>
      <c r="H10" s="22">
        <v>116000.0</v>
      </c>
      <c r="I10" s="20"/>
      <c r="J10" s="23">
        <f t="shared" ref="J10:J11" si="1">D10*H10</f>
        <v>33142.85714</v>
      </c>
    </row>
    <row r="11">
      <c r="A11" s="19">
        <v>2.0</v>
      </c>
      <c r="B11" s="20" t="s">
        <v>34</v>
      </c>
      <c r="C11" s="19" t="s">
        <v>21</v>
      </c>
      <c r="D11" s="21">
        <f>1/100</f>
        <v>0.01</v>
      </c>
      <c r="E11" s="19" t="s">
        <v>23</v>
      </c>
      <c r="F11" s="19" t="s">
        <v>73</v>
      </c>
      <c r="G11" s="19" t="s">
        <v>25</v>
      </c>
      <c r="H11" s="22">
        <v>126000.0</v>
      </c>
      <c r="I11" s="24"/>
      <c r="J11" s="23">
        <f t="shared" si="1"/>
        <v>1260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4/100</f>
        <v>0.04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1000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59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62</v>
      </c>
      <c r="H20" s="22">
        <v>2500.0</v>
      </c>
      <c r="I20" s="24"/>
      <c r="J20" s="23">
        <f t="shared" si="2"/>
        <v>2500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5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75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39951.42857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5328.7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52530.12857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22</v>
      </c>
      <c r="C10" s="19" t="s">
        <v>21</v>
      </c>
      <c r="D10" s="21">
        <f>1/3.5</f>
        <v>0.2857142857</v>
      </c>
      <c r="E10" s="19" t="s">
        <v>23</v>
      </c>
      <c r="F10" s="19" t="s">
        <v>70</v>
      </c>
      <c r="G10" s="19" t="s">
        <v>26</v>
      </c>
      <c r="H10" s="22">
        <v>135000.0</v>
      </c>
      <c r="I10" s="20"/>
      <c r="J10" s="23">
        <f t="shared" ref="J10:J11" si="1">D10*H10</f>
        <v>38571.42857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19" t="s">
        <v>73</v>
      </c>
      <c r="G11" s="19" t="s">
        <v>26</v>
      </c>
      <c r="H11" s="22">
        <v>138000.0</v>
      </c>
      <c r="I11" s="24"/>
      <c r="J11" s="23">
        <f t="shared" si="1"/>
        <v>1380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4/100</f>
        <v>0.04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1000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57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61</v>
      </c>
      <c r="H20" s="22">
        <v>3750.0</v>
      </c>
      <c r="I20" s="24"/>
      <c r="J20" s="23">
        <f t="shared" si="2"/>
        <v>3750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5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76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34402.85714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5328.7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46981.55714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77</v>
      </c>
      <c r="C10" s="19" t="s">
        <v>21</v>
      </c>
      <c r="D10" s="21">
        <f>1/3.5</f>
        <v>0.2857142857</v>
      </c>
      <c r="E10" s="19" t="s">
        <v>23</v>
      </c>
      <c r="F10" s="19" t="s">
        <v>70</v>
      </c>
      <c r="G10" s="19" t="s">
        <v>25</v>
      </c>
      <c r="H10" s="22">
        <v>116000.0</v>
      </c>
      <c r="I10" s="20"/>
      <c r="J10" s="23">
        <f t="shared" ref="J10:J11" si="1">D10*H10</f>
        <v>33142.85714</v>
      </c>
    </row>
    <row r="11">
      <c r="A11" s="19">
        <v>2.0</v>
      </c>
      <c r="B11" s="20" t="s">
        <v>27</v>
      </c>
      <c r="C11" s="19" t="s">
        <v>21</v>
      </c>
      <c r="D11" s="21">
        <f>1/100</f>
        <v>0.01</v>
      </c>
      <c r="E11" s="19" t="s">
        <v>23</v>
      </c>
      <c r="F11" s="19" t="s">
        <v>73</v>
      </c>
      <c r="G11" s="19" t="s">
        <v>25</v>
      </c>
      <c r="H11" s="22">
        <v>126000.0</v>
      </c>
      <c r="I11" s="24"/>
      <c r="J11" s="23">
        <f t="shared" si="1"/>
        <v>1260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4/100</f>
        <v>0.04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1000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57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61</v>
      </c>
      <c r="H20" s="22">
        <v>3750.0</v>
      </c>
      <c r="I20" s="24"/>
      <c r="J20" s="23">
        <f t="shared" si="2"/>
        <v>3750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5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78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39951.42857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4078.7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51280.12857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22</v>
      </c>
      <c r="C10" s="19" t="s">
        <v>21</v>
      </c>
      <c r="D10" s="21">
        <f>1/3.5</f>
        <v>0.2857142857</v>
      </c>
      <c r="E10" s="19" t="s">
        <v>23</v>
      </c>
      <c r="F10" s="19" t="s">
        <v>70</v>
      </c>
      <c r="G10" s="19" t="s">
        <v>26</v>
      </c>
      <c r="H10" s="22">
        <v>135000.0</v>
      </c>
      <c r="I10" s="20"/>
      <c r="J10" s="23">
        <f t="shared" ref="J10:J11" si="1">D10*H10</f>
        <v>38571.42857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19" t="s">
        <v>73</v>
      </c>
      <c r="G11" s="19" t="s">
        <v>26</v>
      </c>
      <c r="H11" s="22">
        <v>138000.0</v>
      </c>
      <c r="I11" s="24"/>
      <c r="J11" s="23">
        <f t="shared" si="1"/>
        <v>1380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4/100</f>
        <v>0.04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1000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59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62</v>
      </c>
      <c r="H20" s="22">
        <v>2500.0</v>
      </c>
      <c r="I20" s="24"/>
      <c r="J20" s="23">
        <f t="shared" si="2"/>
        <v>2500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5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79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34402.85714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4078.7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45731.55714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22</v>
      </c>
      <c r="C10" s="19" t="s">
        <v>21</v>
      </c>
      <c r="D10" s="21">
        <f>1/3.5</f>
        <v>0.2857142857</v>
      </c>
      <c r="E10" s="19" t="s">
        <v>23</v>
      </c>
      <c r="F10" s="19" t="s">
        <v>70</v>
      </c>
      <c r="G10" s="19" t="s">
        <v>25</v>
      </c>
      <c r="H10" s="22">
        <v>116000.0</v>
      </c>
      <c r="I10" s="20"/>
      <c r="J10" s="23">
        <f t="shared" ref="J10:J11" si="1">D10*H10</f>
        <v>33142.85714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19" t="s">
        <v>73</v>
      </c>
      <c r="G11" s="19" t="s">
        <v>25</v>
      </c>
      <c r="H11" s="22">
        <v>126000.0</v>
      </c>
      <c r="I11" s="24"/>
      <c r="J11" s="23">
        <f t="shared" si="1"/>
        <v>1260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4/100</f>
        <v>0.04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1000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59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62</v>
      </c>
      <c r="H20" s="22">
        <v>2500.0</v>
      </c>
      <c r="I20" s="24"/>
      <c r="J20" s="23">
        <f t="shared" si="2"/>
        <v>2500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5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36"/>
    </row>
    <row r="2">
      <c r="A2" s="3"/>
      <c r="B2" s="4" t="s">
        <v>80</v>
      </c>
      <c r="C2" s="5" t="s">
        <v>3</v>
      </c>
      <c r="D2" s="6"/>
      <c r="E2" s="7"/>
      <c r="F2" s="1"/>
      <c r="G2" s="1"/>
      <c r="H2" s="1"/>
      <c r="I2" s="1"/>
      <c r="J2" s="36"/>
    </row>
    <row r="3">
      <c r="A3" s="3"/>
      <c r="B3" s="8" t="s">
        <v>4</v>
      </c>
      <c r="C3" s="9">
        <f>SUM(J10:J11)</f>
        <v>39951.42857</v>
      </c>
      <c r="D3" s="6"/>
      <c r="E3" s="7"/>
      <c r="F3" s="1"/>
      <c r="G3" s="1"/>
      <c r="H3" s="1"/>
      <c r="I3" s="1"/>
      <c r="J3" s="36"/>
    </row>
    <row r="4">
      <c r="A4" s="3"/>
      <c r="B4" s="10" t="s">
        <v>6</v>
      </c>
      <c r="C4" s="11">
        <f>SUM(J14:J20)</f>
        <v>5328.7</v>
      </c>
      <c r="D4" s="6"/>
      <c r="E4" s="7"/>
      <c r="F4" s="1"/>
      <c r="G4" s="1"/>
      <c r="H4" s="1"/>
      <c r="I4" s="1"/>
      <c r="J4" s="36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36"/>
    </row>
    <row r="6">
      <c r="A6" s="3"/>
      <c r="B6" s="4" t="s">
        <v>8</v>
      </c>
      <c r="C6" s="14">
        <f>SUM(C3:D5)</f>
        <v>52530.12857</v>
      </c>
      <c r="D6" s="6"/>
      <c r="E6" s="7"/>
      <c r="F6" s="1"/>
      <c r="G6" s="1"/>
      <c r="H6" s="1"/>
      <c r="I6" s="1"/>
      <c r="J6" s="36"/>
    </row>
    <row r="7">
      <c r="A7" s="1"/>
      <c r="B7" s="15"/>
      <c r="C7" s="15"/>
      <c r="D7" s="15"/>
      <c r="E7" s="1"/>
      <c r="F7" s="1"/>
      <c r="G7" s="1"/>
      <c r="H7" s="1"/>
      <c r="I7" s="1"/>
      <c r="J7" s="36"/>
    </row>
    <row r="8">
      <c r="A8" s="16" t="s">
        <v>9</v>
      </c>
      <c r="J8" s="3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38" t="s">
        <v>19</v>
      </c>
    </row>
    <row r="10">
      <c r="A10" s="19">
        <v>1.0</v>
      </c>
      <c r="B10" s="20" t="s">
        <v>67</v>
      </c>
      <c r="C10" s="19" t="s">
        <v>21</v>
      </c>
      <c r="D10" s="21">
        <f>1/3.5</f>
        <v>0.2857142857</v>
      </c>
      <c r="E10" s="19" t="s">
        <v>23</v>
      </c>
      <c r="F10" s="19" t="s">
        <v>70</v>
      </c>
      <c r="G10" s="19" t="s">
        <v>26</v>
      </c>
      <c r="H10" s="22">
        <v>135000.0</v>
      </c>
      <c r="I10" s="20"/>
      <c r="J10" s="39">
        <f t="shared" ref="J10:J11" si="1">D10*H10</f>
        <v>38571.42857</v>
      </c>
    </row>
    <row r="11">
      <c r="A11" s="19">
        <v>2.0</v>
      </c>
      <c r="B11" s="20" t="s">
        <v>82</v>
      </c>
      <c r="C11" s="19" t="s">
        <v>21</v>
      </c>
      <c r="D11" s="21">
        <f>1/100</f>
        <v>0.01</v>
      </c>
      <c r="E11" s="19" t="s">
        <v>23</v>
      </c>
      <c r="F11" s="19" t="s">
        <v>73</v>
      </c>
      <c r="G11" s="19" t="s">
        <v>26</v>
      </c>
      <c r="H11" s="22">
        <v>138000.0</v>
      </c>
      <c r="I11" s="24"/>
      <c r="J11" s="39">
        <f t="shared" si="1"/>
        <v>1380</v>
      </c>
    </row>
    <row r="12">
      <c r="A12" s="25" t="s">
        <v>31</v>
      </c>
      <c r="J12" s="40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41" t="s">
        <v>19</v>
      </c>
    </row>
    <row r="14">
      <c r="A14" s="19">
        <v>1.0</v>
      </c>
      <c r="B14" s="20" t="s">
        <v>33</v>
      </c>
      <c r="C14" s="19" t="s">
        <v>21</v>
      </c>
      <c r="D14" s="21">
        <f>4/100</f>
        <v>0.04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39">
        <f t="shared" ref="J14:J20" si="2">D14*H14</f>
        <v>1000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39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39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39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39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39">
        <f t="shared" si="2"/>
        <v>50</v>
      </c>
    </row>
    <row r="20">
      <c r="A20" s="19">
        <v>7.0</v>
      </c>
      <c r="B20" s="20" t="s">
        <v>57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61</v>
      </c>
      <c r="H20" s="22">
        <v>3750.0</v>
      </c>
      <c r="I20" s="24"/>
      <c r="J20" s="39">
        <f t="shared" si="2"/>
        <v>3750</v>
      </c>
    </row>
    <row r="21">
      <c r="A21" s="29" t="s">
        <v>63</v>
      </c>
      <c r="J21" s="42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43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39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39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39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39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5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81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34402.85714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5328.7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46981.55714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67</v>
      </c>
      <c r="C10" s="19" t="s">
        <v>21</v>
      </c>
      <c r="D10" s="21">
        <f>1/3.5</f>
        <v>0.2857142857</v>
      </c>
      <c r="E10" s="19" t="s">
        <v>23</v>
      </c>
      <c r="F10" s="19" t="s">
        <v>70</v>
      </c>
      <c r="G10" s="19" t="s">
        <v>25</v>
      </c>
      <c r="H10" s="22">
        <v>116000.0</v>
      </c>
      <c r="I10" s="20"/>
      <c r="J10" s="23">
        <f t="shared" ref="J10:J11" si="1">D10*H10</f>
        <v>33142.85714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19" t="s">
        <v>73</v>
      </c>
      <c r="G11" s="19" t="s">
        <v>25</v>
      </c>
      <c r="H11" s="22">
        <v>126000.0</v>
      </c>
      <c r="I11" s="24"/>
      <c r="J11" s="23">
        <f t="shared" si="1"/>
        <v>1260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4/100</f>
        <v>0.04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1000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57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61</v>
      </c>
      <c r="H20" s="22">
        <v>3750.0</v>
      </c>
      <c r="I20" s="24"/>
      <c r="J20" s="23">
        <f t="shared" si="2"/>
        <v>3750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5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83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39951.42857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4078.7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51280.12857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22</v>
      </c>
      <c r="C10" s="19" t="s">
        <v>21</v>
      </c>
      <c r="D10" s="21">
        <f>1/3.5</f>
        <v>0.2857142857</v>
      </c>
      <c r="E10" s="19" t="s">
        <v>23</v>
      </c>
      <c r="F10" s="19" t="s">
        <v>70</v>
      </c>
      <c r="G10" s="19" t="s">
        <v>26</v>
      </c>
      <c r="H10" s="22">
        <v>135000.0</v>
      </c>
      <c r="I10" s="20"/>
      <c r="J10" s="23">
        <f t="shared" ref="J10:J11" si="1">D10*H10</f>
        <v>38571.42857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19" t="s">
        <v>73</v>
      </c>
      <c r="G11" s="19" t="s">
        <v>26</v>
      </c>
      <c r="H11" s="22">
        <v>138000.0</v>
      </c>
      <c r="I11" s="24"/>
      <c r="J11" s="23">
        <f t="shared" si="1"/>
        <v>1380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4/100</f>
        <v>0.04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1000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59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62</v>
      </c>
      <c r="H20" s="22">
        <v>2500.0</v>
      </c>
      <c r="I20" s="24"/>
      <c r="J20" s="23">
        <f t="shared" si="2"/>
        <v>2500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1.63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85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31786.31579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4078.7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43115.01579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22</v>
      </c>
      <c r="C10" s="19" t="s">
        <v>21</v>
      </c>
      <c r="D10" s="21">
        <f>1/3.8</f>
        <v>0.2631578947</v>
      </c>
      <c r="E10" s="19" t="s">
        <v>23</v>
      </c>
      <c r="F10" s="19" t="s">
        <v>87</v>
      </c>
      <c r="G10" s="19" t="s">
        <v>25</v>
      </c>
      <c r="H10" s="22">
        <v>116000.0</v>
      </c>
      <c r="I10" s="20"/>
      <c r="J10" s="23">
        <f t="shared" ref="J10:J11" si="1">D10*H10</f>
        <v>30526.31579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19" t="s">
        <v>73</v>
      </c>
      <c r="G11" s="19" t="s">
        <v>25</v>
      </c>
      <c r="H11" s="22">
        <v>126000.0</v>
      </c>
      <c r="I11" s="24"/>
      <c r="J11" s="23">
        <f t="shared" si="1"/>
        <v>1260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4/100</f>
        <v>0.04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1000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59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62</v>
      </c>
      <c r="H20" s="22">
        <v>2500.0</v>
      </c>
      <c r="I20" s="24"/>
      <c r="J20" s="23">
        <f t="shared" si="2"/>
        <v>2500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5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84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36906.31579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5328.7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49485.01579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22</v>
      </c>
      <c r="C10" s="19" t="s">
        <v>21</v>
      </c>
      <c r="D10" s="21">
        <f>1/3.8</f>
        <v>0.2631578947</v>
      </c>
      <c r="E10" s="19" t="s">
        <v>23</v>
      </c>
      <c r="F10" s="19" t="s">
        <v>87</v>
      </c>
      <c r="G10" s="19" t="s">
        <v>26</v>
      </c>
      <c r="H10" s="22">
        <v>135000.0</v>
      </c>
      <c r="I10" s="20"/>
      <c r="J10" s="23">
        <f t="shared" ref="J10:J11" si="1">D10*H10</f>
        <v>35526.31579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19" t="s">
        <v>73</v>
      </c>
      <c r="G11" s="19" t="s">
        <v>26</v>
      </c>
      <c r="H11" s="22">
        <v>138000.0</v>
      </c>
      <c r="I11" s="24"/>
      <c r="J11" s="23">
        <f t="shared" si="1"/>
        <v>1380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4/100</f>
        <v>0.04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1000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57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61</v>
      </c>
      <c r="H20" s="22">
        <v>3750.0</v>
      </c>
      <c r="I20" s="24"/>
      <c r="J20" s="23">
        <f t="shared" si="2"/>
        <v>3750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5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86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31786.31579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5328.7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44365.01579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22</v>
      </c>
      <c r="C10" s="19" t="s">
        <v>21</v>
      </c>
      <c r="D10" s="21">
        <f>1/3.8</f>
        <v>0.2631578947</v>
      </c>
      <c r="E10" s="19" t="s">
        <v>23</v>
      </c>
      <c r="F10" s="19" t="s">
        <v>87</v>
      </c>
      <c r="G10" s="19" t="s">
        <v>25</v>
      </c>
      <c r="H10" s="22">
        <v>116000.0</v>
      </c>
      <c r="I10" s="20"/>
      <c r="J10" s="23">
        <f t="shared" ref="J10:J11" si="1">D10*H10</f>
        <v>30526.31579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19" t="s">
        <v>73</v>
      </c>
      <c r="G11" s="19" t="s">
        <v>25</v>
      </c>
      <c r="H11" s="22">
        <v>126000.0</v>
      </c>
      <c r="I11" s="24"/>
      <c r="J11" s="23">
        <f t="shared" si="1"/>
        <v>1260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4/100</f>
        <v>0.04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1000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57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61</v>
      </c>
      <c r="H20" s="22">
        <v>3750.0</v>
      </c>
      <c r="I20" s="24"/>
      <c r="J20" s="23">
        <f t="shared" si="2"/>
        <v>3750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5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88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39951.42857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4328.7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51530.12857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22</v>
      </c>
      <c r="C10" s="19" t="s">
        <v>21</v>
      </c>
      <c r="D10" s="21">
        <f>1/3.5</f>
        <v>0.2857142857</v>
      </c>
      <c r="E10" s="19" t="s">
        <v>23</v>
      </c>
      <c r="F10" s="19" t="s">
        <v>87</v>
      </c>
      <c r="G10" s="19" t="s">
        <v>26</v>
      </c>
      <c r="H10" s="22">
        <v>135000.0</v>
      </c>
      <c r="I10" s="20"/>
      <c r="J10" s="23">
        <f t="shared" ref="J10:J11" si="1">D10*H10</f>
        <v>38571.42857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19" t="s">
        <v>73</v>
      </c>
      <c r="G11" s="19" t="s">
        <v>26</v>
      </c>
      <c r="H11" s="22">
        <v>138000.0</v>
      </c>
      <c r="I11" s="24"/>
      <c r="J11" s="23">
        <f t="shared" si="1"/>
        <v>1380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5/100</f>
        <v>0.05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1250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59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62</v>
      </c>
      <c r="H20" s="22">
        <v>2500.0</v>
      </c>
      <c r="I20" s="24"/>
      <c r="J20" s="23">
        <f t="shared" si="2"/>
        <v>2500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1.63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89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34402.85714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4328.7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45981.55714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22</v>
      </c>
      <c r="C10" s="19" t="s">
        <v>21</v>
      </c>
      <c r="D10" s="21">
        <f>1/3.5</f>
        <v>0.2857142857</v>
      </c>
      <c r="E10" s="19" t="s">
        <v>23</v>
      </c>
      <c r="F10" s="19" t="s">
        <v>87</v>
      </c>
      <c r="G10" s="19" t="s">
        <v>25</v>
      </c>
      <c r="H10" s="22">
        <v>116000.0</v>
      </c>
      <c r="I10" s="20"/>
      <c r="J10" s="23">
        <f t="shared" ref="J10:J11" si="1">D10*H10</f>
        <v>33142.85714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19" t="s">
        <v>73</v>
      </c>
      <c r="G11" s="19" t="s">
        <v>25</v>
      </c>
      <c r="H11" s="22">
        <v>126000.0</v>
      </c>
      <c r="I11" s="24"/>
      <c r="J11" s="23">
        <f t="shared" si="1"/>
        <v>1260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5/100</f>
        <v>0.05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1250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59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62</v>
      </c>
      <c r="H20" s="22">
        <v>2500.0</v>
      </c>
      <c r="I20" s="24"/>
      <c r="J20" s="23">
        <f t="shared" si="2"/>
        <v>2500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5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90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39951.42857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5578.7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52780.12857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92</v>
      </c>
      <c r="C10" s="19" t="s">
        <v>21</v>
      </c>
      <c r="D10" s="21">
        <f>1/3.5</f>
        <v>0.2857142857</v>
      </c>
      <c r="E10" s="19" t="s">
        <v>23</v>
      </c>
      <c r="F10" s="19" t="s">
        <v>87</v>
      </c>
      <c r="G10" s="19" t="s">
        <v>26</v>
      </c>
      <c r="H10" s="22">
        <v>135000.0</v>
      </c>
      <c r="I10" s="20"/>
      <c r="J10" s="23">
        <f t="shared" ref="J10:J11" si="1">D10*H10</f>
        <v>38571.42857</v>
      </c>
    </row>
    <row r="11">
      <c r="A11" s="19">
        <v>2.0</v>
      </c>
      <c r="B11" s="20" t="s">
        <v>93</v>
      </c>
      <c r="C11" s="19" t="s">
        <v>21</v>
      </c>
      <c r="D11" s="21">
        <f>1/100</f>
        <v>0.01</v>
      </c>
      <c r="E11" s="19" t="s">
        <v>23</v>
      </c>
      <c r="F11" s="19" t="s">
        <v>73</v>
      </c>
      <c r="G11" s="19" t="s">
        <v>26</v>
      </c>
      <c r="H11" s="22">
        <v>138000.0</v>
      </c>
      <c r="I11" s="24"/>
      <c r="J11" s="23">
        <f t="shared" si="1"/>
        <v>1380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5/100</f>
        <v>0.05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1250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57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61</v>
      </c>
      <c r="H20" s="22">
        <v>3750.0</v>
      </c>
      <c r="I20" s="24"/>
      <c r="J20" s="23">
        <f t="shared" si="2"/>
        <v>3750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5"/>
    <col customWidth="1" min="3" max="3" width="8.88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91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34402.85714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5578.7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47231.55714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67</v>
      </c>
      <c r="C10" s="19" t="s">
        <v>21</v>
      </c>
      <c r="D10" s="21">
        <f>1/3.5</f>
        <v>0.2857142857</v>
      </c>
      <c r="E10" s="19" t="s">
        <v>23</v>
      </c>
      <c r="F10" s="19" t="s">
        <v>87</v>
      </c>
      <c r="G10" s="19" t="s">
        <v>25</v>
      </c>
      <c r="H10" s="22">
        <v>116000.0</v>
      </c>
      <c r="I10" s="20"/>
      <c r="J10" s="23">
        <f t="shared" ref="J10:J11" si="1">D10*H10</f>
        <v>33142.85714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19" t="s">
        <v>73</v>
      </c>
      <c r="G11" s="19" t="s">
        <v>25</v>
      </c>
      <c r="H11" s="22">
        <v>126000.0</v>
      </c>
      <c r="I11" s="24"/>
      <c r="J11" s="23">
        <f t="shared" si="1"/>
        <v>1260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5/100</f>
        <v>0.05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1250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57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61</v>
      </c>
      <c r="H20" s="22">
        <v>3750.0</v>
      </c>
      <c r="I20" s="24"/>
      <c r="J20" s="23">
        <f t="shared" si="2"/>
        <v>3750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6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23">
        <f t="shared" si="3"/>
        <v>2500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94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SUM(J10:J12)</f>
        <v>35130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SUM(J15:J21)</f>
        <v>4078.7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SUM(J24:J27)</f>
        <v>7550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46758.7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95</v>
      </c>
      <c r="C10" s="19" t="s">
        <v>21</v>
      </c>
      <c r="D10" s="21">
        <f>1/6</f>
        <v>0.1666666667</v>
      </c>
      <c r="E10" s="19" t="s">
        <v>23</v>
      </c>
      <c r="F10" s="44" t="s">
        <v>96</v>
      </c>
      <c r="G10" s="19" t="s">
        <v>26</v>
      </c>
      <c r="H10" s="22">
        <v>135000.0</v>
      </c>
      <c r="I10" s="20"/>
      <c r="J10" s="23">
        <f t="shared" ref="J10:J12" si="1">D10*H10</f>
        <v>22500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44" t="s">
        <v>98</v>
      </c>
      <c r="G11" s="19" t="s">
        <v>26</v>
      </c>
      <c r="H11" s="22">
        <v>138000.0</v>
      </c>
      <c r="I11" s="24"/>
      <c r="J11" s="23">
        <f t="shared" si="1"/>
        <v>1380</v>
      </c>
    </row>
    <row r="12">
      <c r="A12" s="19">
        <v>3.0</v>
      </c>
      <c r="B12" s="20" t="s">
        <v>95</v>
      </c>
      <c r="C12" s="19" t="s">
        <v>21</v>
      </c>
      <c r="D12" s="21">
        <f>1/12</f>
        <v>0.08333333333</v>
      </c>
      <c r="E12" s="19" t="s">
        <v>99</v>
      </c>
      <c r="F12" s="44" t="s">
        <v>100</v>
      </c>
      <c r="G12" s="19" t="s">
        <v>26</v>
      </c>
      <c r="H12" s="22">
        <v>135000.0</v>
      </c>
      <c r="I12" s="20"/>
      <c r="J12" s="23">
        <f t="shared" si="1"/>
        <v>11250</v>
      </c>
    </row>
    <row r="13">
      <c r="A13" s="25" t="s">
        <v>31</v>
      </c>
      <c r="J13" s="26"/>
    </row>
    <row r="14">
      <c r="A14" s="27" t="s">
        <v>10</v>
      </c>
      <c r="B14" s="27" t="s">
        <v>11</v>
      </c>
      <c r="C14" s="27" t="s">
        <v>12</v>
      </c>
      <c r="D14" s="45" t="s">
        <v>13</v>
      </c>
      <c r="E14" s="27" t="s">
        <v>14</v>
      </c>
      <c r="F14" s="27" t="s">
        <v>32</v>
      </c>
      <c r="G14" s="27" t="s">
        <v>16</v>
      </c>
      <c r="H14" s="46" t="s">
        <v>17</v>
      </c>
      <c r="I14" s="47" t="s">
        <v>18</v>
      </c>
      <c r="J14" s="27" t="s">
        <v>19</v>
      </c>
    </row>
    <row r="15">
      <c r="A15" s="19">
        <v>1.0</v>
      </c>
      <c r="B15" s="20" t="s">
        <v>33</v>
      </c>
      <c r="C15" s="19" t="s">
        <v>21</v>
      </c>
      <c r="D15" s="21">
        <f>4/100</f>
        <v>0.04</v>
      </c>
      <c r="E15" s="19" t="s">
        <v>35</v>
      </c>
      <c r="F15" s="19" t="s">
        <v>37</v>
      </c>
      <c r="G15" s="19" t="s">
        <v>38</v>
      </c>
      <c r="H15" s="22">
        <v>25000.0</v>
      </c>
      <c r="I15" s="24"/>
      <c r="J15" s="23">
        <f t="shared" ref="J15:J21" si="2">D15*H15</f>
        <v>1000</v>
      </c>
    </row>
    <row r="16">
      <c r="A16" s="19">
        <v>2.0</v>
      </c>
      <c r="B16" s="20" t="s">
        <v>39</v>
      </c>
      <c r="C16" s="19" t="s">
        <v>21</v>
      </c>
      <c r="D16" s="21">
        <v>0.0</v>
      </c>
      <c r="E16" s="19" t="s">
        <v>40</v>
      </c>
      <c r="F16" s="19" t="s">
        <v>41</v>
      </c>
      <c r="G16" s="19" t="s">
        <v>38</v>
      </c>
      <c r="H16" s="22">
        <v>13000.0</v>
      </c>
      <c r="I16" s="24"/>
      <c r="J16" s="23">
        <f t="shared" si="2"/>
        <v>0</v>
      </c>
    </row>
    <row r="17">
      <c r="A17" s="19">
        <v>3.0</v>
      </c>
      <c r="B17" s="20" t="s">
        <v>42</v>
      </c>
      <c r="C17" s="19" t="s">
        <v>21</v>
      </c>
      <c r="D17" s="21">
        <f>1/100</f>
        <v>0.01</v>
      </c>
      <c r="E17" s="19" t="s">
        <v>43</v>
      </c>
      <c r="F17" s="19" t="s">
        <v>44</v>
      </c>
      <c r="G17" s="19" t="s">
        <v>38</v>
      </c>
      <c r="H17" s="22">
        <v>10000.0</v>
      </c>
      <c r="I17" s="24"/>
      <c r="J17" s="23">
        <f t="shared" si="2"/>
        <v>100</v>
      </c>
    </row>
    <row r="18">
      <c r="A18" s="19">
        <v>4.0</v>
      </c>
      <c r="B18" s="20" t="s">
        <v>45</v>
      </c>
      <c r="C18" s="19" t="s">
        <v>46</v>
      </c>
      <c r="D18" s="21">
        <v>1.0</v>
      </c>
      <c r="E18" s="19" t="s">
        <v>47</v>
      </c>
      <c r="F18" s="19" t="s">
        <v>48</v>
      </c>
      <c r="G18" s="19" t="s">
        <v>49</v>
      </c>
      <c r="H18" s="22">
        <v>370.0</v>
      </c>
      <c r="I18" s="24"/>
      <c r="J18" s="23">
        <f t="shared" si="2"/>
        <v>370</v>
      </c>
    </row>
    <row r="19">
      <c r="A19" s="19">
        <v>5.0</v>
      </c>
      <c r="B19" s="20" t="s">
        <v>50</v>
      </c>
      <c r="C19" s="19" t="s">
        <v>46</v>
      </c>
      <c r="D19" s="21">
        <f>1/10</f>
        <v>0.1</v>
      </c>
      <c r="E19" s="19" t="s">
        <v>47</v>
      </c>
      <c r="F19" s="19" t="s">
        <v>51</v>
      </c>
      <c r="G19" s="19" t="s">
        <v>52</v>
      </c>
      <c r="H19" s="22">
        <v>587.0</v>
      </c>
      <c r="I19" s="24"/>
      <c r="J19" s="23">
        <f t="shared" si="2"/>
        <v>58.7</v>
      </c>
    </row>
    <row r="20">
      <c r="A20" s="19">
        <v>6.0</v>
      </c>
      <c r="B20" s="20" t="s">
        <v>53</v>
      </c>
      <c r="C20" s="19" t="s">
        <v>54</v>
      </c>
      <c r="D20" s="21">
        <f>1/100</f>
        <v>0.01</v>
      </c>
      <c r="E20" s="19" t="s">
        <v>47</v>
      </c>
      <c r="F20" s="19" t="s">
        <v>55</v>
      </c>
      <c r="G20" s="19" t="s">
        <v>56</v>
      </c>
      <c r="H20" s="22">
        <v>5000.0</v>
      </c>
      <c r="I20" s="24"/>
      <c r="J20" s="23">
        <f t="shared" si="2"/>
        <v>50</v>
      </c>
    </row>
    <row r="21">
      <c r="A21" s="19">
        <v>7.0</v>
      </c>
      <c r="B21" s="20" t="s">
        <v>59</v>
      </c>
      <c r="C21" s="19" t="s">
        <v>58</v>
      </c>
      <c r="D21" s="28">
        <v>1.0</v>
      </c>
      <c r="E21" s="19" t="s">
        <v>47</v>
      </c>
      <c r="F21" s="19" t="s">
        <v>60</v>
      </c>
      <c r="G21" s="19" t="s">
        <v>62</v>
      </c>
      <c r="H21" s="22">
        <v>2500.0</v>
      </c>
      <c r="I21" s="20"/>
      <c r="J21" s="23">
        <f t="shared" si="2"/>
        <v>2500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48" t="s">
        <v>13</v>
      </c>
      <c r="E23" s="31" t="s">
        <v>14</v>
      </c>
      <c r="F23" s="49" t="s">
        <v>32</v>
      </c>
      <c r="G23" s="31" t="s">
        <v>16</v>
      </c>
      <c r="H23" s="50" t="s">
        <v>65</v>
      </c>
      <c r="I23" s="32"/>
      <c r="J23" s="31" t="s">
        <v>19</v>
      </c>
    </row>
    <row r="24">
      <c r="A24" s="19">
        <v>1.0</v>
      </c>
      <c r="B24" s="19" t="s">
        <v>66</v>
      </c>
      <c r="C24" s="33"/>
      <c r="D24" s="34">
        <v>1.0</v>
      </c>
      <c r="E24" s="19" t="s">
        <v>47</v>
      </c>
      <c r="F24" s="33"/>
      <c r="G24" s="19" t="s">
        <v>68</v>
      </c>
      <c r="H24" s="22">
        <v>750.0</v>
      </c>
      <c r="I24" s="33"/>
      <c r="J24" s="23">
        <f t="shared" ref="J24:J27" si="3">D24*H24</f>
        <v>750</v>
      </c>
    </row>
    <row r="25">
      <c r="A25" s="19">
        <v>2.0</v>
      </c>
      <c r="B25" s="19" t="s">
        <v>69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2000.0</v>
      </c>
      <c r="I25" s="33"/>
      <c r="J25" s="23">
        <f t="shared" si="3"/>
        <v>2000</v>
      </c>
    </row>
    <row r="26">
      <c r="A26" s="19">
        <v>3.0</v>
      </c>
      <c r="B26" s="19" t="s">
        <v>71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2800.0</v>
      </c>
      <c r="I26" s="33"/>
      <c r="J26" s="23">
        <f t="shared" si="3"/>
        <v>2800</v>
      </c>
    </row>
    <row r="27">
      <c r="A27" s="19">
        <v>4.0</v>
      </c>
      <c r="B27" s="19" t="s">
        <v>72</v>
      </c>
      <c r="C27" s="33"/>
      <c r="D27" s="34">
        <v>1.0</v>
      </c>
      <c r="E27" s="19" t="s">
        <v>47</v>
      </c>
      <c r="F27" s="35"/>
      <c r="G27" s="19" t="s">
        <v>68</v>
      </c>
      <c r="H27" s="22">
        <v>2000.0</v>
      </c>
      <c r="I27" s="33"/>
      <c r="J27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94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SUM(J10:J12)</f>
        <v>30780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SUM(J15:J21)</f>
        <v>4078.7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SUM(J24:J27)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42108.7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95</v>
      </c>
      <c r="C10" s="19" t="s">
        <v>21</v>
      </c>
      <c r="D10" s="21">
        <f>1/6</f>
        <v>0.1666666667</v>
      </c>
      <c r="E10" s="19" t="s">
        <v>23</v>
      </c>
      <c r="F10" s="44" t="s">
        <v>96</v>
      </c>
      <c r="G10" s="19" t="s">
        <v>25</v>
      </c>
      <c r="H10" s="22">
        <v>118000.0</v>
      </c>
      <c r="I10" s="20"/>
      <c r="J10" s="23">
        <f t="shared" ref="J10:J12" si="1">D10*H10</f>
        <v>19666.66667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44" t="s">
        <v>98</v>
      </c>
      <c r="G11" s="19" t="s">
        <v>25</v>
      </c>
      <c r="H11" s="22">
        <v>128000.0</v>
      </c>
      <c r="I11" s="24"/>
      <c r="J11" s="23">
        <f t="shared" si="1"/>
        <v>1280</v>
      </c>
    </row>
    <row r="12">
      <c r="A12" s="19">
        <v>3.0</v>
      </c>
      <c r="B12" s="20" t="s">
        <v>95</v>
      </c>
      <c r="C12" s="19" t="s">
        <v>21</v>
      </c>
      <c r="D12" s="21">
        <f>1/12</f>
        <v>0.08333333333</v>
      </c>
      <c r="E12" s="19" t="s">
        <v>99</v>
      </c>
      <c r="F12" s="44" t="s">
        <v>100</v>
      </c>
      <c r="G12" s="19" t="s">
        <v>25</v>
      </c>
      <c r="H12" s="22">
        <v>118000.0</v>
      </c>
      <c r="I12" s="20"/>
      <c r="J12" s="23">
        <f t="shared" si="1"/>
        <v>9833.333333</v>
      </c>
    </row>
    <row r="13">
      <c r="A13" s="25" t="s">
        <v>31</v>
      </c>
      <c r="J13" s="26"/>
    </row>
    <row r="14">
      <c r="A14" s="27" t="s">
        <v>10</v>
      </c>
      <c r="B14" s="27" t="s">
        <v>11</v>
      </c>
      <c r="C14" s="27" t="s">
        <v>12</v>
      </c>
      <c r="D14" s="45" t="s">
        <v>13</v>
      </c>
      <c r="E14" s="27" t="s">
        <v>14</v>
      </c>
      <c r="F14" s="27" t="s">
        <v>32</v>
      </c>
      <c r="G14" s="27" t="s">
        <v>16</v>
      </c>
      <c r="H14" s="46" t="s">
        <v>17</v>
      </c>
      <c r="I14" s="47" t="s">
        <v>18</v>
      </c>
      <c r="J14" s="27" t="s">
        <v>19</v>
      </c>
    </row>
    <row r="15">
      <c r="A15" s="19">
        <v>1.0</v>
      </c>
      <c r="B15" s="20" t="s">
        <v>33</v>
      </c>
      <c r="C15" s="19" t="s">
        <v>21</v>
      </c>
      <c r="D15" s="21">
        <f>4/100</f>
        <v>0.04</v>
      </c>
      <c r="E15" s="19" t="s">
        <v>35</v>
      </c>
      <c r="F15" s="19" t="s">
        <v>37</v>
      </c>
      <c r="G15" s="19" t="s">
        <v>38</v>
      </c>
      <c r="H15" s="22">
        <v>25000.0</v>
      </c>
      <c r="I15" s="24"/>
      <c r="J15" s="23">
        <f t="shared" ref="J15:J21" si="2">D15*H15</f>
        <v>1000</v>
      </c>
    </row>
    <row r="16">
      <c r="A16" s="19">
        <v>2.0</v>
      </c>
      <c r="B16" s="20" t="s">
        <v>39</v>
      </c>
      <c r="C16" s="19" t="s">
        <v>21</v>
      </c>
      <c r="D16" s="21">
        <v>0.0</v>
      </c>
      <c r="E16" s="19" t="s">
        <v>40</v>
      </c>
      <c r="F16" s="19" t="s">
        <v>41</v>
      </c>
      <c r="G16" s="19" t="s">
        <v>38</v>
      </c>
      <c r="H16" s="22">
        <v>13000.0</v>
      </c>
      <c r="I16" s="24"/>
      <c r="J16" s="23">
        <f t="shared" si="2"/>
        <v>0</v>
      </c>
    </row>
    <row r="17">
      <c r="A17" s="19">
        <v>3.0</v>
      </c>
      <c r="B17" s="20" t="s">
        <v>42</v>
      </c>
      <c r="C17" s="19" t="s">
        <v>21</v>
      </c>
      <c r="D17" s="21">
        <f>1/100</f>
        <v>0.01</v>
      </c>
      <c r="E17" s="19" t="s">
        <v>43</v>
      </c>
      <c r="F17" s="19" t="s">
        <v>44</v>
      </c>
      <c r="G17" s="19" t="s">
        <v>38</v>
      </c>
      <c r="H17" s="22">
        <v>10000.0</v>
      </c>
      <c r="I17" s="24"/>
      <c r="J17" s="23">
        <f t="shared" si="2"/>
        <v>100</v>
      </c>
    </row>
    <row r="18">
      <c r="A18" s="19">
        <v>4.0</v>
      </c>
      <c r="B18" s="20" t="s">
        <v>45</v>
      </c>
      <c r="C18" s="19" t="s">
        <v>46</v>
      </c>
      <c r="D18" s="21">
        <v>1.0</v>
      </c>
      <c r="E18" s="19" t="s">
        <v>47</v>
      </c>
      <c r="F18" s="19" t="s">
        <v>48</v>
      </c>
      <c r="G18" s="19" t="s">
        <v>49</v>
      </c>
      <c r="H18" s="22">
        <v>370.0</v>
      </c>
      <c r="I18" s="24"/>
      <c r="J18" s="23">
        <f t="shared" si="2"/>
        <v>370</v>
      </c>
    </row>
    <row r="19">
      <c r="A19" s="19">
        <v>5.0</v>
      </c>
      <c r="B19" s="20" t="s">
        <v>50</v>
      </c>
      <c r="C19" s="19" t="s">
        <v>46</v>
      </c>
      <c r="D19" s="21">
        <f>1/10</f>
        <v>0.1</v>
      </c>
      <c r="E19" s="19" t="s">
        <v>47</v>
      </c>
      <c r="F19" s="19" t="s">
        <v>51</v>
      </c>
      <c r="G19" s="19" t="s">
        <v>52</v>
      </c>
      <c r="H19" s="22">
        <v>587.0</v>
      </c>
      <c r="I19" s="24"/>
      <c r="J19" s="23">
        <f t="shared" si="2"/>
        <v>58.7</v>
      </c>
    </row>
    <row r="20">
      <c r="A20" s="19">
        <v>6.0</v>
      </c>
      <c r="B20" s="20" t="s">
        <v>53</v>
      </c>
      <c r="C20" s="19" t="s">
        <v>54</v>
      </c>
      <c r="D20" s="21">
        <f>1/100</f>
        <v>0.01</v>
      </c>
      <c r="E20" s="19" t="s">
        <v>47</v>
      </c>
      <c r="F20" s="19" t="s">
        <v>55</v>
      </c>
      <c r="G20" s="19" t="s">
        <v>56</v>
      </c>
      <c r="H20" s="22">
        <v>5000.0</v>
      </c>
      <c r="I20" s="24"/>
      <c r="J20" s="23">
        <f t="shared" si="2"/>
        <v>50</v>
      </c>
    </row>
    <row r="21">
      <c r="A21" s="19">
        <v>7.0</v>
      </c>
      <c r="B21" s="20" t="s">
        <v>59</v>
      </c>
      <c r="C21" s="19" t="s">
        <v>58</v>
      </c>
      <c r="D21" s="28">
        <v>1.0</v>
      </c>
      <c r="E21" s="19" t="s">
        <v>47</v>
      </c>
      <c r="F21" s="19" t="s">
        <v>60</v>
      </c>
      <c r="G21" s="19" t="s">
        <v>62</v>
      </c>
      <c r="H21" s="22">
        <v>2500.0</v>
      </c>
      <c r="I21" s="20"/>
      <c r="J21" s="23">
        <f t="shared" si="2"/>
        <v>2500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48" t="s">
        <v>13</v>
      </c>
      <c r="E23" s="31" t="s">
        <v>14</v>
      </c>
      <c r="F23" s="49" t="s">
        <v>32</v>
      </c>
      <c r="G23" s="31" t="s">
        <v>16</v>
      </c>
      <c r="H23" s="50" t="s">
        <v>65</v>
      </c>
      <c r="I23" s="32"/>
      <c r="J23" s="31" t="s">
        <v>19</v>
      </c>
    </row>
    <row r="24">
      <c r="A24" s="19">
        <v>1.0</v>
      </c>
      <c r="B24" s="19" t="s">
        <v>66</v>
      </c>
      <c r="C24" s="33"/>
      <c r="D24" s="34">
        <v>1.0</v>
      </c>
      <c r="E24" s="19" t="s">
        <v>47</v>
      </c>
      <c r="F24" s="33"/>
      <c r="G24" s="19" t="s">
        <v>68</v>
      </c>
      <c r="H24" s="22">
        <v>750.0</v>
      </c>
      <c r="I24" s="33"/>
      <c r="J24" s="23">
        <f t="shared" ref="J24:J27" si="3">D24*H24</f>
        <v>750</v>
      </c>
    </row>
    <row r="25">
      <c r="A25" s="19">
        <v>2.0</v>
      </c>
      <c r="B25" s="19" t="s">
        <v>69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2000.0</v>
      </c>
      <c r="I25" s="33"/>
      <c r="J25" s="23">
        <f t="shared" si="3"/>
        <v>2000</v>
      </c>
    </row>
    <row r="26">
      <c r="A26" s="19">
        <v>3.0</v>
      </c>
      <c r="B26" s="19" t="s">
        <v>71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2500.0</v>
      </c>
      <c r="I26" s="33"/>
      <c r="J26" s="23">
        <f t="shared" si="3"/>
        <v>2500</v>
      </c>
    </row>
    <row r="27">
      <c r="A27" s="19">
        <v>4.0</v>
      </c>
      <c r="B27" s="19" t="s">
        <v>72</v>
      </c>
      <c r="C27" s="33"/>
      <c r="D27" s="34">
        <v>1.0</v>
      </c>
      <c r="E27" s="19" t="s">
        <v>47</v>
      </c>
      <c r="F27" s="35"/>
      <c r="G27" s="19" t="s">
        <v>68</v>
      </c>
      <c r="H27" s="22">
        <v>2000.0</v>
      </c>
      <c r="I27" s="33"/>
      <c r="J27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97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SUM(J10:J12)</f>
        <v>35130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SUM(J15:J21)</f>
        <v>5328.7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SUM(J24:J27)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47708.7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95</v>
      </c>
      <c r="C10" s="19" t="s">
        <v>21</v>
      </c>
      <c r="D10" s="21">
        <f>1/6</f>
        <v>0.1666666667</v>
      </c>
      <c r="E10" s="19" t="s">
        <v>23</v>
      </c>
      <c r="F10" s="44" t="s">
        <v>96</v>
      </c>
      <c r="G10" s="19" t="s">
        <v>26</v>
      </c>
      <c r="H10" s="22">
        <v>135000.0</v>
      </c>
      <c r="I10" s="20"/>
      <c r="J10" s="23">
        <f t="shared" ref="J10:J12" si="1">D10*H10</f>
        <v>22500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44" t="s">
        <v>98</v>
      </c>
      <c r="G11" s="19" t="s">
        <v>26</v>
      </c>
      <c r="H11" s="22">
        <v>138000.0</v>
      </c>
      <c r="I11" s="24"/>
      <c r="J11" s="23">
        <f t="shared" si="1"/>
        <v>1380</v>
      </c>
    </row>
    <row r="12">
      <c r="A12" s="19">
        <v>3.0</v>
      </c>
      <c r="B12" s="20" t="s">
        <v>95</v>
      </c>
      <c r="C12" s="19" t="s">
        <v>21</v>
      </c>
      <c r="D12" s="21">
        <f>1/12</f>
        <v>0.08333333333</v>
      </c>
      <c r="E12" s="19" t="s">
        <v>99</v>
      </c>
      <c r="F12" s="44" t="s">
        <v>100</v>
      </c>
      <c r="G12" s="19" t="s">
        <v>26</v>
      </c>
      <c r="H12" s="22">
        <v>135000.0</v>
      </c>
      <c r="I12" s="20"/>
      <c r="J12" s="23">
        <f t="shared" si="1"/>
        <v>11250</v>
      </c>
    </row>
    <row r="13">
      <c r="A13" s="25" t="s">
        <v>31</v>
      </c>
      <c r="J13" s="26"/>
    </row>
    <row r="14">
      <c r="A14" s="27" t="s">
        <v>10</v>
      </c>
      <c r="B14" s="27" t="s">
        <v>11</v>
      </c>
      <c r="C14" s="27" t="s">
        <v>12</v>
      </c>
      <c r="D14" s="45" t="s">
        <v>13</v>
      </c>
      <c r="E14" s="27" t="s">
        <v>14</v>
      </c>
      <c r="F14" s="27" t="s">
        <v>32</v>
      </c>
      <c r="G14" s="27" t="s">
        <v>16</v>
      </c>
      <c r="H14" s="46" t="s">
        <v>17</v>
      </c>
      <c r="I14" s="47" t="s">
        <v>18</v>
      </c>
      <c r="J14" s="27" t="s">
        <v>19</v>
      </c>
    </row>
    <row r="15">
      <c r="A15" s="19">
        <v>1.0</v>
      </c>
      <c r="B15" s="20" t="s">
        <v>33</v>
      </c>
      <c r="C15" s="19" t="s">
        <v>21</v>
      </c>
      <c r="D15" s="21">
        <f>4/100</f>
        <v>0.04</v>
      </c>
      <c r="E15" s="19" t="s">
        <v>35</v>
      </c>
      <c r="F15" s="19" t="s">
        <v>37</v>
      </c>
      <c r="G15" s="19" t="s">
        <v>38</v>
      </c>
      <c r="H15" s="22">
        <v>25000.0</v>
      </c>
      <c r="I15" s="24"/>
      <c r="J15" s="23">
        <f t="shared" ref="J15:J21" si="2">D15*H15</f>
        <v>1000</v>
      </c>
    </row>
    <row r="16">
      <c r="A16" s="19">
        <v>2.0</v>
      </c>
      <c r="B16" s="20" t="s">
        <v>39</v>
      </c>
      <c r="C16" s="19" t="s">
        <v>21</v>
      </c>
      <c r="D16" s="21">
        <v>0.0</v>
      </c>
      <c r="E16" s="19" t="s">
        <v>40</v>
      </c>
      <c r="F16" s="19" t="s">
        <v>41</v>
      </c>
      <c r="G16" s="19" t="s">
        <v>38</v>
      </c>
      <c r="H16" s="22">
        <v>13000.0</v>
      </c>
      <c r="I16" s="24"/>
      <c r="J16" s="23">
        <f t="shared" si="2"/>
        <v>0</v>
      </c>
    </row>
    <row r="17">
      <c r="A17" s="19">
        <v>3.0</v>
      </c>
      <c r="B17" s="20" t="s">
        <v>42</v>
      </c>
      <c r="C17" s="19" t="s">
        <v>21</v>
      </c>
      <c r="D17" s="21">
        <f>1/100</f>
        <v>0.01</v>
      </c>
      <c r="E17" s="19" t="s">
        <v>43</v>
      </c>
      <c r="F17" s="19" t="s">
        <v>44</v>
      </c>
      <c r="G17" s="19" t="s">
        <v>38</v>
      </c>
      <c r="H17" s="22">
        <v>10000.0</v>
      </c>
      <c r="I17" s="24"/>
      <c r="J17" s="23">
        <f t="shared" si="2"/>
        <v>100</v>
      </c>
    </row>
    <row r="18">
      <c r="A18" s="19">
        <v>4.0</v>
      </c>
      <c r="B18" s="20" t="s">
        <v>45</v>
      </c>
      <c r="C18" s="19" t="s">
        <v>46</v>
      </c>
      <c r="D18" s="21">
        <v>1.0</v>
      </c>
      <c r="E18" s="19" t="s">
        <v>47</v>
      </c>
      <c r="F18" s="19" t="s">
        <v>48</v>
      </c>
      <c r="G18" s="19" t="s">
        <v>49</v>
      </c>
      <c r="H18" s="22">
        <v>370.0</v>
      </c>
      <c r="I18" s="24"/>
      <c r="J18" s="23">
        <f t="shared" si="2"/>
        <v>370</v>
      </c>
    </row>
    <row r="19">
      <c r="A19" s="19">
        <v>5.0</v>
      </c>
      <c r="B19" s="20" t="s">
        <v>50</v>
      </c>
      <c r="C19" s="19" t="s">
        <v>46</v>
      </c>
      <c r="D19" s="21">
        <f>1/10</f>
        <v>0.1</v>
      </c>
      <c r="E19" s="19" t="s">
        <v>47</v>
      </c>
      <c r="F19" s="19" t="s">
        <v>51</v>
      </c>
      <c r="G19" s="19" t="s">
        <v>52</v>
      </c>
      <c r="H19" s="22">
        <v>587.0</v>
      </c>
      <c r="I19" s="24"/>
      <c r="J19" s="23">
        <f t="shared" si="2"/>
        <v>58.7</v>
      </c>
    </row>
    <row r="20">
      <c r="A20" s="19">
        <v>6.0</v>
      </c>
      <c r="B20" s="20" t="s">
        <v>53</v>
      </c>
      <c r="C20" s="19" t="s">
        <v>54</v>
      </c>
      <c r="D20" s="21">
        <f>1/100</f>
        <v>0.01</v>
      </c>
      <c r="E20" s="19" t="s">
        <v>47</v>
      </c>
      <c r="F20" s="19" t="s">
        <v>55</v>
      </c>
      <c r="G20" s="19" t="s">
        <v>56</v>
      </c>
      <c r="H20" s="22">
        <v>5000.0</v>
      </c>
      <c r="I20" s="24"/>
      <c r="J20" s="23">
        <f t="shared" si="2"/>
        <v>50</v>
      </c>
    </row>
    <row r="21">
      <c r="A21" s="19">
        <v>7.0</v>
      </c>
      <c r="B21" s="20" t="s">
        <v>57</v>
      </c>
      <c r="C21" s="19" t="s">
        <v>58</v>
      </c>
      <c r="D21" s="28">
        <v>1.0</v>
      </c>
      <c r="E21" s="19" t="s">
        <v>47</v>
      </c>
      <c r="F21" s="19" t="s">
        <v>60</v>
      </c>
      <c r="G21" s="19" t="s">
        <v>61</v>
      </c>
      <c r="H21" s="22">
        <v>3750.0</v>
      </c>
      <c r="I21" s="20"/>
      <c r="J21" s="23">
        <f t="shared" si="2"/>
        <v>3750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48" t="s">
        <v>13</v>
      </c>
      <c r="E23" s="31" t="s">
        <v>14</v>
      </c>
      <c r="F23" s="49" t="s">
        <v>32</v>
      </c>
      <c r="G23" s="31" t="s">
        <v>16</v>
      </c>
      <c r="H23" s="50" t="s">
        <v>65</v>
      </c>
      <c r="I23" s="32"/>
      <c r="J23" s="31" t="s">
        <v>19</v>
      </c>
    </row>
    <row r="24">
      <c r="A24" s="19">
        <v>1.0</v>
      </c>
      <c r="B24" s="19" t="s">
        <v>66</v>
      </c>
      <c r="C24" s="33"/>
      <c r="D24" s="34">
        <v>1.0</v>
      </c>
      <c r="E24" s="19" t="s">
        <v>47</v>
      </c>
      <c r="F24" s="33"/>
      <c r="G24" s="19" t="s">
        <v>68</v>
      </c>
      <c r="H24" s="22">
        <v>750.0</v>
      </c>
      <c r="I24" s="33"/>
      <c r="J24" s="23">
        <f t="shared" ref="J24:J27" si="3">D24*H24</f>
        <v>750</v>
      </c>
    </row>
    <row r="25">
      <c r="A25" s="19">
        <v>2.0</v>
      </c>
      <c r="B25" s="19" t="s">
        <v>69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2000.0</v>
      </c>
      <c r="I25" s="33"/>
      <c r="J25" s="23">
        <f t="shared" si="3"/>
        <v>2000</v>
      </c>
    </row>
    <row r="26">
      <c r="A26" s="19">
        <v>3.0</v>
      </c>
      <c r="B26" s="19" t="s">
        <v>71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2500.0</v>
      </c>
      <c r="I26" s="33"/>
      <c r="J26" s="23">
        <f t="shared" si="3"/>
        <v>2500</v>
      </c>
    </row>
    <row r="27">
      <c r="A27" s="19">
        <v>4.0</v>
      </c>
      <c r="B27" s="19" t="s">
        <v>72</v>
      </c>
      <c r="C27" s="33"/>
      <c r="D27" s="34">
        <v>1.0</v>
      </c>
      <c r="E27" s="19" t="s">
        <v>47</v>
      </c>
      <c r="F27" s="35"/>
      <c r="G27" s="19" t="s">
        <v>68</v>
      </c>
      <c r="H27" s="22">
        <v>2000.0</v>
      </c>
      <c r="I27" s="33"/>
      <c r="J27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101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SUM(J10:J12)</f>
        <v>30780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SUM(J15:J21)</f>
        <v>5328.7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SUM(J24:J27)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43358.7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95</v>
      </c>
      <c r="C10" s="19" t="s">
        <v>21</v>
      </c>
      <c r="D10" s="21">
        <f>1/6</f>
        <v>0.1666666667</v>
      </c>
      <c r="E10" s="19" t="s">
        <v>23</v>
      </c>
      <c r="F10" s="44" t="s">
        <v>96</v>
      </c>
      <c r="G10" s="19" t="s">
        <v>25</v>
      </c>
      <c r="H10" s="22">
        <v>118000.0</v>
      </c>
      <c r="I10" s="20"/>
      <c r="J10" s="23">
        <f t="shared" ref="J10:J12" si="1">D10*H10</f>
        <v>19666.66667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44" t="s">
        <v>98</v>
      </c>
      <c r="G11" s="19" t="s">
        <v>25</v>
      </c>
      <c r="H11" s="22">
        <v>128000.0</v>
      </c>
      <c r="I11" s="24"/>
      <c r="J11" s="23">
        <f t="shared" si="1"/>
        <v>1280</v>
      </c>
    </row>
    <row r="12">
      <c r="A12" s="19">
        <v>3.0</v>
      </c>
      <c r="B12" s="20" t="s">
        <v>95</v>
      </c>
      <c r="C12" s="19" t="s">
        <v>21</v>
      </c>
      <c r="D12" s="21">
        <f>1/12</f>
        <v>0.08333333333</v>
      </c>
      <c r="E12" s="19" t="s">
        <v>99</v>
      </c>
      <c r="F12" s="44" t="s">
        <v>100</v>
      </c>
      <c r="G12" s="19" t="s">
        <v>25</v>
      </c>
      <c r="H12" s="22">
        <v>118000.0</v>
      </c>
      <c r="I12" s="20"/>
      <c r="J12" s="23">
        <f t="shared" si="1"/>
        <v>9833.333333</v>
      </c>
    </row>
    <row r="13">
      <c r="A13" s="25" t="s">
        <v>31</v>
      </c>
      <c r="J13" s="26"/>
    </row>
    <row r="14">
      <c r="A14" s="27" t="s">
        <v>10</v>
      </c>
      <c r="B14" s="27" t="s">
        <v>11</v>
      </c>
      <c r="C14" s="27" t="s">
        <v>12</v>
      </c>
      <c r="D14" s="45" t="s">
        <v>13</v>
      </c>
      <c r="E14" s="27" t="s">
        <v>14</v>
      </c>
      <c r="F14" s="27" t="s">
        <v>32</v>
      </c>
      <c r="G14" s="27" t="s">
        <v>16</v>
      </c>
      <c r="H14" s="46" t="s">
        <v>17</v>
      </c>
      <c r="I14" s="47" t="s">
        <v>18</v>
      </c>
      <c r="J14" s="27" t="s">
        <v>19</v>
      </c>
    </row>
    <row r="15">
      <c r="A15" s="19">
        <v>1.0</v>
      </c>
      <c r="B15" s="20" t="s">
        <v>33</v>
      </c>
      <c r="C15" s="19" t="s">
        <v>21</v>
      </c>
      <c r="D15" s="21">
        <f>4/100</f>
        <v>0.04</v>
      </c>
      <c r="E15" s="19" t="s">
        <v>35</v>
      </c>
      <c r="F15" s="19" t="s">
        <v>37</v>
      </c>
      <c r="G15" s="19" t="s">
        <v>38</v>
      </c>
      <c r="H15" s="22">
        <v>25000.0</v>
      </c>
      <c r="I15" s="24"/>
      <c r="J15" s="23">
        <f t="shared" ref="J15:J21" si="2">D15*H15</f>
        <v>1000</v>
      </c>
    </row>
    <row r="16">
      <c r="A16" s="19">
        <v>2.0</v>
      </c>
      <c r="B16" s="20" t="s">
        <v>39</v>
      </c>
      <c r="C16" s="19" t="s">
        <v>21</v>
      </c>
      <c r="D16" s="21">
        <v>0.0</v>
      </c>
      <c r="E16" s="19" t="s">
        <v>40</v>
      </c>
      <c r="F16" s="19" t="s">
        <v>41</v>
      </c>
      <c r="G16" s="19" t="s">
        <v>38</v>
      </c>
      <c r="H16" s="22">
        <v>13000.0</v>
      </c>
      <c r="I16" s="24"/>
      <c r="J16" s="23">
        <f t="shared" si="2"/>
        <v>0</v>
      </c>
    </row>
    <row r="17">
      <c r="A17" s="19">
        <v>3.0</v>
      </c>
      <c r="B17" s="20" t="s">
        <v>42</v>
      </c>
      <c r="C17" s="19" t="s">
        <v>21</v>
      </c>
      <c r="D17" s="21">
        <f>1/100</f>
        <v>0.01</v>
      </c>
      <c r="E17" s="19" t="s">
        <v>43</v>
      </c>
      <c r="F17" s="19" t="s">
        <v>44</v>
      </c>
      <c r="G17" s="19" t="s">
        <v>38</v>
      </c>
      <c r="H17" s="22">
        <v>10000.0</v>
      </c>
      <c r="I17" s="24"/>
      <c r="J17" s="23">
        <f t="shared" si="2"/>
        <v>100</v>
      </c>
    </row>
    <row r="18">
      <c r="A18" s="19">
        <v>4.0</v>
      </c>
      <c r="B18" s="20" t="s">
        <v>45</v>
      </c>
      <c r="C18" s="19" t="s">
        <v>46</v>
      </c>
      <c r="D18" s="21">
        <v>1.0</v>
      </c>
      <c r="E18" s="19" t="s">
        <v>47</v>
      </c>
      <c r="F18" s="19" t="s">
        <v>48</v>
      </c>
      <c r="G18" s="19" t="s">
        <v>49</v>
      </c>
      <c r="H18" s="22">
        <v>370.0</v>
      </c>
      <c r="I18" s="24"/>
      <c r="J18" s="23">
        <f t="shared" si="2"/>
        <v>370</v>
      </c>
    </row>
    <row r="19">
      <c r="A19" s="19">
        <v>5.0</v>
      </c>
      <c r="B19" s="20" t="s">
        <v>50</v>
      </c>
      <c r="C19" s="19" t="s">
        <v>46</v>
      </c>
      <c r="D19" s="21">
        <f>1/10</f>
        <v>0.1</v>
      </c>
      <c r="E19" s="19" t="s">
        <v>47</v>
      </c>
      <c r="F19" s="19" t="s">
        <v>51</v>
      </c>
      <c r="G19" s="19" t="s">
        <v>52</v>
      </c>
      <c r="H19" s="22">
        <v>587.0</v>
      </c>
      <c r="I19" s="24"/>
      <c r="J19" s="23">
        <f t="shared" si="2"/>
        <v>58.7</v>
      </c>
    </row>
    <row r="20">
      <c r="A20" s="19">
        <v>6.0</v>
      </c>
      <c r="B20" s="20" t="s">
        <v>53</v>
      </c>
      <c r="C20" s="19" t="s">
        <v>54</v>
      </c>
      <c r="D20" s="21">
        <f>1/100</f>
        <v>0.01</v>
      </c>
      <c r="E20" s="19" t="s">
        <v>47</v>
      </c>
      <c r="F20" s="19" t="s">
        <v>55</v>
      </c>
      <c r="G20" s="19" t="s">
        <v>56</v>
      </c>
      <c r="H20" s="22">
        <v>5000.0</v>
      </c>
      <c r="I20" s="24"/>
      <c r="J20" s="23">
        <f t="shared" si="2"/>
        <v>50</v>
      </c>
    </row>
    <row r="21">
      <c r="A21" s="19">
        <v>7.0</v>
      </c>
      <c r="B21" s="20" t="s">
        <v>57</v>
      </c>
      <c r="C21" s="19" t="s">
        <v>58</v>
      </c>
      <c r="D21" s="28">
        <v>1.0</v>
      </c>
      <c r="E21" s="19" t="s">
        <v>47</v>
      </c>
      <c r="F21" s="19" t="s">
        <v>60</v>
      </c>
      <c r="G21" s="19" t="s">
        <v>61</v>
      </c>
      <c r="H21" s="22">
        <v>3750.0</v>
      </c>
      <c r="I21" s="20"/>
      <c r="J21" s="23">
        <f t="shared" si="2"/>
        <v>3750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48" t="s">
        <v>13</v>
      </c>
      <c r="E23" s="31" t="s">
        <v>14</v>
      </c>
      <c r="F23" s="49" t="s">
        <v>32</v>
      </c>
      <c r="G23" s="31" t="s">
        <v>16</v>
      </c>
      <c r="H23" s="50" t="s">
        <v>65</v>
      </c>
      <c r="I23" s="32"/>
      <c r="J23" s="31" t="s">
        <v>19</v>
      </c>
    </row>
    <row r="24">
      <c r="A24" s="19">
        <v>1.0</v>
      </c>
      <c r="B24" s="19" t="s">
        <v>66</v>
      </c>
      <c r="C24" s="33"/>
      <c r="D24" s="34">
        <v>1.0</v>
      </c>
      <c r="E24" s="19" t="s">
        <v>47</v>
      </c>
      <c r="F24" s="33"/>
      <c r="G24" s="19" t="s">
        <v>68</v>
      </c>
      <c r="H24" s="22">
        <v>750.0</v>
      </c>
      <c r="I24" s="33"/>
      <c r="J24" s="23">
        <f t="shared" ref="J24:J27" si="3">D24*H24</f>
        <v>750</v>
      </c>
    </row>
    <row r="25">
      <c r="A25" s="19">
        <v>2.0</v>
      </c>
      <c r="B25" s="19" t="s">
        <v>69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2000.0</v>
      </c>
      <c r="I25" s="33"/>
      <c r="J25" s="23">
        <f t="shared" si="3"/>
        <v>2000</v>
      </c>
    </row>
    <row r="26">
      <c r="A26" s="19">
        <v>3.0</v>
      </c>
      <c r="B26" s="19" t="s">
        <v>71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2500.0</v>
      </c>
      <c r="I26" s="33"/>
      <c r="J26" s="23">
        <f t="shared" si="3"/>
        <v>2500</v>
      </c>
    </row>
    <row r="27">
      <c r="A27" s="19">
        <v>4.0</v>
      </c>
      <c r="B27" s="19" t="s">
        <v>72</v>
      </c>
      <c r="C27" s="33"/>
      <c r="D27" s="34">
        <v>1.0</v>
      </c>
      <c r="E27" s="19" t="s">
        <v>47</v>
      </c>
      <c r="F27" s="35"/>
      <c r="G27" s="19" t="s">
        <v>68</v>
      </c>
      <c r="H27" s="22">
        <v>2000.0</v>
      </c>
      <c r="I27" s="33"/>
      <c r="J27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102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SUM(J10:J12)</f>
        <v>39762.35294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SUM(J15:J21)</f>
        <v>4078.7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SUM(J24:J27)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51091.05294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95</v>
      </c>
      <c r="C10" s="19" t="s">
        <v>21</v>
      </c>
      <c r="D10" s="21">
        <f>1/6</f>
        <v>0.1666666667</v>
      </c>
      <c r="E10" s="19" t="s">
        <v>23</v>
      </c>
      <c r="F10" s="44" t="s">
        <v>96</v>
      </c>
      <c r="G10" s="19" t="s">
        <v>26</v>
      </c>
      <c r="H10" s="22">
        <v>135000.0</v>
      </c>
      <c r="I10" s="20"/>
      <c r="J10" s="23">
        <f t="shared" ref="J10:J12" si="1">D10*H10</f>
        <v>22500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44" t="s">
        <v>98</v>
      </c>
      <c r="G11" s="19" t="s">
        <v>26</v>
      </c>
      <c r="H11" s="22">
        <v>138000.0</v>
      </c>
      <c r="I11" s="24"/>
      <c r="J11" s="23">
        <f t="shared" si="1"/>
        <v>1380</v>
      </c>
    </row>
    <row r="12">
      <c r="A12" s="19">
        <v>3.0</v>
      </c>
      <c r="B12" s="20" t="s">
        <v>95</v>
      </c>
      <c r="C12" s="19" t="s">
        <v>21</v>
      </c>
      <c r="D12" s="21">
        <f>1/8.5</f>
        <v>0.1176470588</v>
      </c>
      <c r="E12" s="19" t="s">
        <v>99</v>
      </c>
      <c r="F12" s="44" t="s">
        <v>105</v>
      </c>
      <c r="G12" s="19" t="s">
        <v>26</v>
      </c>
      <c r="H12" s="22">
        <v>135000.0</v>
      </c>
      <c r="I12" s="20"/>
      <c r="J12" s="23">
        <f t="shared" si="1"/>
        <v>15882.35294</v>
      </c>
    </row>
    <row r="13">
      <c r="A13" s="25" t="s">
        <v>31</v>
      </c>
      <c r="J13" s="26"/>
    </row>
    <row r="14">
      <c r="A14" s="27" t="s">
        <v>10</v>
      </c>
      <c r="B14" s="27" t="s">
        <v>11</v>
      </c>
      <c r="C14" s="27" t="s">
        <v>12</v>
      </c>
      <c r="D14" s="45" t="s">
        <v>13</v>
      </c>
      <c r="E14" s="27" t="s">
        <v>14</v>
      </c>
      <c r="F14" s="27" t="s">
        <v>32</v>
      </c>
      <c r="G14" s="27" t="s">
        <v>16</v>
      </c>
      <c r="H14" s="46" t="s">
        <v>17</v>
      </c>
      <c r="I14" s="47" t="s">
        <v>18</v>
      </c>
      <c r="J14" s="27" t="s">
        <v>19</v>
      </c>
    </row>
    <row r="15">
      <c r="A15" s="19">
        <v>1.0</v>
      </c>
      <c r="B15" s="20" t="s">
        <v>33</v>
      </c>
      <c r="C15" s="19" t="s">
        <v>21</v>
      </c>
      <c r="D15" s="21">
        <f>4/100</f>
        <v>0.04</v>
      </c>
      <c r="E15" s="19" t="s">
        <v>35</v>
      </c>
      <c r="F15" s="19" t="s">
        <v>37</v>
      </c>
      <c r="G15" s="19" t="s">
        <v>38</v>
      </c>
      <c r="H15" s="22">
        <v>25000.0</v>
      </c>
      <c r="I15" s="24"/>
      <c r="J15" s="23">
        <f t="shared" ref="J15:J21" si="2">D15*H15</f>
        <v>1000</v>
      </c>
    </row>
    <row r="16">
      <c r="A16" s="19">
        <v>2.0</v>
      </c>
      <c r="B16" s="20" t="s">
        <v>39</v>
      </c>
      <c r="C16" s="19" t="s">
        <v>21</v>
      </c>
      <c r="D16" s="21">
        <v>0.0</v>
      </c>
      <c r="E16" s="19" t="s">
        <v>40</v>
      </c>
      <c r="F16" s="19" t="s">
        <v>41</v>
      </c>
      <c r="G16" s="19" t="s">
        <v>38</v>
      </c>
      <c r="H16" s="22">
        <v>13000.0</v>
      </c>
      <c r="I16" s="24"/>
      <c r="J16" s="23">
        <f t="shared" si="2"/>
        <v>0</v>
      </c>
    </row>
    <row r="17">
      <c r="A17" s="19">
        <v>3.0</v>
      </c>
      <c r="B17" s="20" t="s">
        <v>42</v>
      </c>
      <c r="C17" s="19" t="s">
        <v>21</v>
      </c>
      <c r="D17" s="21">
        <f>1/100</f>
        <v>0.01</v>
      </c>
      <c r="E17" s="19" t="s">
        <v>43</v>
      </c>
      <c r="F17" s="19" t="s">
        <v>44</v>
      </c>
      <c r="G17" s="19" t="s">
        <v>38</v>
      </c>
      <c r="H17" s="22">
        <v>10000.0</v>
      </c>
      <c r="I17" s="24"/>
      <c r="J17" s="23">
        <f t="shared" si="2"/>
        <v>100</v>
      </c>
    </row>
    <row r="18">
      <c r="A18" s="19">
        <v>4.0</v>
      </c>
      <c r="B18" s="20" t="s">
        <v>45</v>
      </c>
      <c r="C18" s="19" t="s">
        <v>46</v>
      </c>
      <c r="D18" s="21">
        <v>1.0</v>
      </c>
      <c r="E18" s="19" t="s">
        <v>47</v>
      </c>
      <c r="F18" s="19" t="s">
        <v>48</v>
      </c>
      <c r="G18" s="19" t="s">
        <v>49</v>
      </c>
      <c r="H18" s="22">
        <v>370.0</v>
      </c>
      <c r="I18" s="24"/>
      <c r="J18" s="23">
        <f t="shared" si="2"/>
        <v>370</v>
      </c>
    </row>
    <row r="19">
      <c r="A19" s="19">
        <v>5.0</v>
      </c>
      <c r="B19" s="20" t="s">
        <v>50</v>
      </c>
      <c r="C19" s="19" t="s">
        <v>46</v>
      </c>
      <c r="D19" s="21">
        <f>1/10</f>
        <v>0.1</v>
      </c>
      <c r="E19" s="19" t="s">
        <v>47</v>
      </c>
      <c r="F19" s="19" t="s">
        <v>51</v>
      </c>
      <c r="G19" s="19" t="s">
        <v>52</v>
      </c>
      <c r="H19" s="22">
        <v>587.0</v>
      </c>
      <c r="I19" s="24"/>
      <c r="J19" s="23">
        <f t="shared" si="2"/>
        <v>58.7</v>
      </c>
    </row>
    <row r="20">
      <c r="A20" s="19">
        <v>6.0</v>
      </c>
      <c r="B20" s="20" t="s">
        <v>53</v>
      </c>
      <c r="C20" s="19" t="s">
        <v>54</v>
      </c>
      <c r="D20" s="21">
        <f>1/100</f>
        <v>0.01</v>
      </c>
      <c r="E20" s="19" t="s">
        <v>47</v>
      </c>
      <c r="F20" s="19" t="s">
        <v>55</v>
      </c>
      <c r="G20" s="19" t="s">
        <v>56</v>
      </c>
      <c r="H20" s="22">
        <v>5000.0</v>
      </c>
      <c r="I20" s="24"/>
      <c r="J20" s="23">
        <f t="shared" si="2"/>
        <v>50</v>
      </c>
    </row>
    <row r="21">
      <c r="A21" s="19">
        <v>7.0</v>
      </c>
      <c r="B21" s="20" t="s">
        <v>59</v>
      </c>
      <c r="C21" s="19" t="s">
        <v>58</v>
      </c>
      <c r="D21" s="28">
        <v>1.0</v>
      </c>
      <c r="E21" s="19" t="s">
        <v>47</v>
      </c>
      <c r="F21" s="19" t="s">
        <v>60</v>
      </c>
      <c r="G21" s="19" t="s">
        <v>62</v>
      </c>
      <c r="H21" s="22">
        <v>2500.0</v>
      </c>
      <c r="I21" s="20"/>
      <c r="J21" s="23">
        <f t="shared" si="2"/>
        <v>2500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48" t="s">
        <v>13</v>
      </c>
      <c r="E23" s="31" t="s">
        <v>14</v>
      </c>
      <c r="F23" s="49" t="s">
        <v>32</v>
      </c>
      <c r="G23" s="31" t="s">
        <v>16</v>
      </c>
      <c r="H23" s="50" t="s">
        <v>65</v>
      </c>
      <c r="I23" s="32"/>
      <c r="J23" s="31" t="s">
        <v>19</v>
      </c>
    </row>
    <row r="24">
      <c r="A24" s="19">
        <v>1.0</v>
      </c>
      <c r="B24" s="19" t="s">
        <v>66</v>
      </c>
      <c r="C24" s="33"/>
      <c r="D24" s="34">
        <v>1.0</v>
      </c>
      <c r="E24" s="19" t="s">
        <v>47</v>
      </c>
      <c r="F24" s="33"/>
      <c r="G24" s="19" t="s">
        <v>68</v>
      </c>
      <c r="H24" s="22">
        <v>750.0</v>
      </c>
      <c r="I24" s="33"/>
      <c r="J24" s="23">
        <f t="shared" ref="J24:J27" si="3">D24*H24</f>
        <v>750</v>
      </c>
    </row>
    <row r="25">
      <c r="A25" s="19">
        <v>2.0</v>
      </c>
      <c r="B25" s="19" t="s">
        <v>69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2000.0</v>
      </c>
      <c r="I25" s="33"/>
      <c r="J25" s="23">
        <f t="shared" si="3"/>
        <v>2000</v>
      </c>
    </row>
    <row r="26">
      <c r="A26" s="19">
        <v>3.0</v>
      </c>
      <c r="B26" s="19" t="s">
        <v>71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2500.0</v>
      </c>
      <c r="I26" s="33"/>
      <c r="J26" s="23">
        <f t="shared" si="3"/>
        <v>2500</v>
      </c>
    </row>
    <row r="27">
      <c r="A27" s="19">
        <v>4.0</v>
      </c>
      <c r="B27" s="19" t="s">
        <v>72</v>
      </c>
      <c r="C27" s="33"/>
      <c r="D27" s="34">
        <v>1.0</v>
      </c>
      <c r="E27" s="19" t="s">
        <v>47</v>
      </c>
      <c r="F27" s="35"/>
      <c r="G27" s="19" t="s">
        <v>68</v>
      </c>
      <c r="H27" s="22">
        <v>2000.0</v>
      </c>
      <c r="I27" s="33"/>
      <c r="J27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103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SUM(J10:J12)</f>
        <v>35696.66667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SUM(J15:J21)</f>
        <v>4078.7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SUM(J24:J27)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47025.36667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95</v>
      </c>
      <c r="C10" s="19" t="s">
        <v>21</v>
      </c>
      <c r="D10" s="21">
        <f>1/6</f>
        <v>0.1666666667</v>
      </c>
      <c r="E10" s="19" t="s">
        <v>23</v>
      </c>
      <c r="F10" s="44" t="s">
        <v>96</v>
      </c>
      <c r="G10" s="19" t="s">
        <v>25</v>
      </c>
      <c r="H10" s="22">
        <v>118000.0</v>
      </c>
      <c r="I10" s="20"/>
      <c r="J10" s="23">
        <f t="shared" ref="J10:J12" si="1">D10*H10</f>
        <v>19666.66667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44" t="s">
        <v>98</v>
      </c>
      <c r="G11" s="19" t="s">
        <v>25</v>
      </c>
      <c r="H11" s="22">
        <v>128000.0</v>
      </c>
      <c r="I11" s="24"/>
      <c r="J11" s="23">
        <f t="shared" si="1"/>
        <v>1280</v>
      </c>
    </row>
    <row r="12">
      <c r="A12" s="19">
        <v>3.0</v>
      </c>
      <c r="B12" s="20" t="s">
        <v>95</v>
      </c>
      <c r="C12" s="19" t="s">
        <v>21</v>
      </c>
      <c r="D12" s="21">
        <f>1/8</f>
        <v>0.125</v>
      </c>
      <c r="E12" s="19" t="s">
        <v>99</v>
      </c>
      <c r="F12" s="44" t="s">
        <v>105</v>
      </c>
      <c r="G12" s="19" t="s">
        <v>25</v>
      </c>
      <c r="H12" s="22">
        <v>118000.0</v>
      </c>
      <c r="I12" s="20"/>
      <c r="J12" s="23">
        <f t="shared" si="1"/>
        <v>14750</v>
      </c>
    </row>
    <row r="13">
      <c r="A13" s="25" t="s">
        <v>31</v>
      </c>
      <c r="J13" s="26"/>
    </row>
    <row r="14">
      <c r="A14" s="27" t="s">
        <v>10</v>
      </c>
      <c r="B14" s="27" t="s">
        <v>11</v>
      </c>
      <c r="C14" s="27" t="s">
        <v>12</v>
      </c>
      <c r="D14" s="45" t="s">
        <v>13</v>
      </c>
      <c r="E14" s="27" t="s">
        <v>14</v>
      </c>
      <c r="F14" s="27" t="s">
        <v>32</v>
      </c>
      <c r="G14" s="27" t="s">
        <v>16</v>
      </c>
      <c r="H14" s="46" t="s">
        <v>17</v>
      </c>
      <c r="I14" s="47" t="s">
        <v>18</v>
      </c>
      <c r="J14" s="27" t="s">
        <v>19</v>
      </c>
    </row>
    <row r="15">
      <c r="A15" s="19">
        <v>1.0</v>
      </c>
      <c r="B15" s="20" t="s">
        <v>33</v>
      </c>
      <c r="C15" s="19" t="s">
        <v>21</v>
      </c>
      <c r="D15" s="21">
        <f>4/100</f>
        <v>0.04</v>
      </c>
      <c r="E15" s="19" t="s">
        <v>35</v>
      </c>
      <c r="F15" s="19" t="s">
        <v>37</v>
      </c>
      <c r="G15" s="19" t="s">
        <v>38</v>
      </c>
      <c r="H15" s="22">
        <v>25000.0</v>
      </c>
      <c r="I15" s="24"/>
      <c r="J15" s="23">
        <f t="shared" ref="J15:J21" si="2">D15*H15</f>
        <v>1000</v>
      </c>
    </row>
    <row r="16">
      <c r="A16" s="19">
        <v>2.0</v>
      </c>
      <c r="B16" s="20" t="s">
        <v>39</v>
      </c>
      <c r="C16" s="19" t="s">
        <v>21</v>
      </c>
      <c r="D16" s="21">
        <v>0.0</v>
      </c>
      <c r="E16" s="19" t="s">
        <v>40</v>
      </c>
      <c r="F16" s="19" t="s">
        <v>41</v>
      </c>
      <c r="G16" s="19" t="s">
        <v>38</v>
      </c>
      <c r="H16" s="22">
        <v>13000.0</v>
      </c>
      <c r="I16" s="24"/>
      <c r="J16" s="23">
        <f t="shared" si="2"/>
        <v>0</v>
      </c>
    </row>
    <row r="17">
      <c r="A17" s="19">
        <v>3.0</v>
      </c>
      <c r="B17" s="20" t="s">
        <v>42</v>
      </c>
      <c r="C17" s="19" t="s">
        <v>21</v>
      </c>
      <c r="D17" s="21">
        <f>1/100</f>
        <v>0.01</v>
      </c>
      <c r="E17" s="19" t="s">
        <v>43</v>
      </c>
      <c r="F17" s="19" t="s">
        <v>44</v>
      </c>
      <c r="G17" s="19" t="s">
        <v>38</v>
      </c>
      <c r="H17" s="22">
        <v>10000.0</v>
      </c>
      <c r="I17" s="24"/>
      <c r="J17" s="23">
        <f t="shared" si="2"/>
        <v>100</v>
      </c>
    </row>
    <row r="18">
      <c r="A18" s="19">
        <v>4.0</v>
      </c>
      <c r="B18" s="20" t="s">
        <v>45</v>
      </c>
      <c r="C18" s="19" t="s">
        <v>46</v>
      </c>
      <c r="D18" s="21">
        <v>1.0</v>
      </c>
      <c r="E18" s="19" t="s">
        <v>47</v>
      </c>
      <c r="F18" s="19" t="s">
        <v>48</v>
      </c>
      <c r="G18" s="19" t="s">
        <v>49</v>
      </c>
      <c r="H18" s="22">
        <v>370.0</v>
      </c>
      <c r="I18" s="24"/>
      <c r="J18" s="23">
        <f t="shared" si="2"/>
        <v>370</v>
      </c>
    </row>
    <row r="19">
      <c r="A19" s="19">
        <v>5.0</v>
      </c>
      <c r="B19" s="20" t="s">
        <v>50</v>
      </c>
      <c r="C19" s="19" t="s">
        <v>46</v>
      </c>
      <c r="D19" s="21">
        <f>1/10</f>
        <v>0.1</v>
      </c>
      <c r="E19" s="19" t="s">
        <v>47</v>
      </c>
      <c r="F19" s="19" t="s">
        <v>51</v>
      </c>
      <c r="G19" s="19" t="s">
        <v>52</v>
      </c>
      <c r="H19" s="22">
        <v>587.0</v>
      </c>
      <c r="I19" s="24"/>
      <c r="J19" s="23">
        <f t="shared" si="2"/>
        <v>58.7</v>
      </c>
    </row>
    <row r="20">
      <c r="A20" s="19">
        <v>6.0</v>
      </c>
      <c r="B20" s="20" t="s">
        <v>53</v>
      </c>
      <c r="C20" s="19" t="s">
        <v>54</v>
      </c>
      <c r="D20" s="21">
        <f>1/100</f>
        <v>0.01</v>
      </c>
      <c r="E20" s="19" t="s">
        <v>47</v>
      </c>
      <c r="F20" s="19" t="s">
        <v>55</v>
      </c>
      <c r="G20" s="19" t="s">
        <v>56</v>
      </c>
      <c r="H20" s="22">
        <v>5000.0</v>
      </c>
      <c r="I20" s="24"/>
      <c r="J20" s="23">
        <f t="shared" si="2"/>
        <v>50</v>
      </c>
    </row>
    <row r="21">
      <c r="A21" s="19">
        <v>7.0</v>
      </c>
      <c r="B21" s="20" t="s">
        <v>59</v>
      </c>
      <c r="C21" s="19" t="s">
        <v>58</v>
      </c>
      <c r="D21" s="28">
        <v>1.0</v>
      </c>
      <c r="E21" s="19" t="s">
        <v>47</v>
      </c>
      <c r="F21" s="19" t="s">
        <v>60</v>
      </c>
      <c r="G21" s="19" t="s">
        <v>62</v>
      </c>
      <c r="H21" s="22">
        <v>2500.0</v>
      </c>
      <c r="I21" s="20"/>
      <c r="J21" s="23">
        <f t="shared" si="2"/>
        <v>2500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48" t="s">
        <v>13</v>
      </c>
      <c r="E23" s="31" t="s">
        <v>14</v>
      </c>
      <c r="F23" s="49" t="s">
        <v>32</v>
      </c>
      <c r="G23" s="31" t="s">
        <v>16</v>
      </c>
      <c r="H23" s="50" t="s">
        <v>65</v>
      </c>
      <c r="I23" s="32"/>
      <c r="J23" s="31" t="s">
        <v>19</v>
      </c>
    </row>
    <row r="24">
      <c r="A24" s="19">
        <v>1.0</v>
      </c>
      <c r="B24" s="19" t="s">
        <v>66</v>
      </c>
      <c r="C24" s="33"/>
      <c r="D24" s="34">
        <v>1.0</v>
      </c>
      <c r="E24" s="19" t="s">
        <v>47</v>
      </c>
      <c r="F24" s="33"/>
      <c r="G24" s="19" t="s">
        <v>68</v>
      </c>
      <c r="H24" s="22">
        <v>750.0</v>
      </c>
      <c r="I24" s="33"/>
      <c r="J24" s="23">
        <f t="shared" ref="J24:J27" si="3">D24*H24</f>
        <v>750</v>
      </c>
    </row>
    <row r="25">
      <c r="A25" s="19">
        <v>2.0</v>
      </c>
      <c r="B25" s="19" t="s">
        <v>69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2000.0</v>
      </c>
      <c r="I25" s="33"/>
      <c r="J25" s="23">
        <f t="shared" si="3"/>
        <v>2000</v>
      </c>
    </row>
    <row r="26">
      <c r="A26" s="19">
        <v>3.0</v>
      </c>
      <c r="B26" s="19" t="s">
        <v>71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2500.0</v>
      </c>
      <c r="I26" s="33"/>
      <c r="J26" s="23">
        <f t="shared" si="3"/>
        <v>2500</v>
      </c>
    </row>
    <row r="27">
      <c r="A27" s="19">
        <v>4.0</v>
      </c>
      <c r="B27" s="19" t="s">
        <v>72</v>
      </c>
      <c r="C27" s="33"/>
      <c r="D27" s="34">
        <v>1.0</v>
      </c>
      <c r="E27" s="19" t="s">
        <v>47</v>
      </c>
      <c r="F27" s="35"/>
      <c r="G27" s="19" t="s">
        <v>68</v>
      </c>
      <c r="H27" s="22">
        <v>2000.0</v>
      </c>
      <c r="I27" s="33"/>
      <c r="J27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104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SUM(J10:J12)</f>
        <v>40755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SUM(J15:J21)</f>
        <v>5328.7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SUM(J24:J27)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53333.7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95</v>
      </c>
      <c r="C10" s="19" t="s">
        <v>21</v>
      </c>
      <c r="D10" s="21">
        <f>1/6</f>
        <v>0.1666666667</v>
      </c>
      <c r="E10" s="19" t="s">
        <v>23</v>
      </c>
      <c r="F10" s="44" t="s">
        <v>96</v>
      </c>
      <c r="G10" s="19" t="s">
        <v>26</v>
      </c>
      <c r="H10" s="22">
        <v>135000.0</v>
      </c>
      <c r="I10" s="20"/>
      <c r="J10" s="23">
        <f t="shared" ref="J10:J12" si="1">D10*H10</f>
        <v>22500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44" t="s">
        <v>98</v>
      </c>
      <c r="G11" s="19" t="s">
        <v>26</v>
      </c>
      <c r="H11" s="22">
        <v>138000.0</v>
      </c>
      <c r="I11" s="24"/>
      <c r="J11" s="23">
        <f t="shared" si="1"/>
        <v>1380</v>
      </c>
    </row>
    <row r="12">
      <c r="A12" s="19">
        <v>3.0</v>
      </c>
      <c r="B12" s="20" t="s">
        <v>95</v>
      </c>
      <c r="C12" s="19" t="s">
        <v>21</v>
      </c>
      <c r="D12" s="21">
        <f>1/8</f>
        <v>0.125</v>
      </c>
      <c r="E12" s="19" t="s">
        <v>99</v>
      </c>
      <c r="F12" s="44" t="s">
        <v>107</v>
      </c>
      <c r="G12" s="19" t="s">
        <v>26</v>
      </c>
      <c r="H12" s="22">
        <v>135000.0</v>
      </c>
      <c r="I12" s="20"/>
      <c r="J12" s="23">
        <f t="shared" si="1"/>
        <v>16875</v>
      </c>
    </row>
    <row r="13">
      <c r="A13" s="25" t="s">
        <v>31</v>
      </c>
      <c r="J13" s="26"/>
    </row>
    <row r="14">
      <c r="A14" s="27" t="s">
        <v>10</v>
      </c>
      <c r="B14" s="27" t="s">
        <v>11</v>
      </c>
      <c r="C14" s="27" t="s">
        <v>12</v>
      </c>
      <c r="D14" s="45" t="s">
        <v>13</v>
      </c>
      <c r="E14" s="27" t="s">
        <v>14</v>
      </c>
      <c r="F14" s="27" t="s">
        <v>32</v>
      </c>
      <c r="G14" s="27" t="s">
        <v>16</v>
      </c>
      <c r="H14" s="46" t="s">
        <v>17</v>
      </c>
      <c r="I14" s="47" t="s">
        <v>18</v>
      </c>
      <c r="J14" s="27" t="s">
        <v>19</v>
      </c>
    </row>
    <row r="15">
      <c r="A15" s="19">
        <v>1.0</v>
      </c>
      <c r="B15" s="20" t="s">
        <v>33</v>
      </c>
      <c r="C15" s="19" t="s">
        <v>21</v>
      </c>
      <c r="D15" s="21">
        <f>4/100</f>
        <v>0.04</v>
      </c>
      <c r="E15" s="19" t="s">
        <v>35</v>
      </c>
      <c r="F15" s="19" t="s">
        <v>37</v>
      </c>
      <c r="G15" s="19" t="s">
        <v>38</v>
      </c>
      <c r="H15" s="22">
        <v>25000.0</v>
      </c>
      <c r="I15" s="24"/>
      <c r="J15" s="23">
        <f t="shared" ref="J15:J21" si="2">D15*H15</f>
        <v>1000</v>
      </c>
    </row>
    <row r="16">
      <c r="A16" s="19">
        <v>2.0</v>
      </c>
      <c r="B16" s="20" t="s">
        <v>39</v>
      </c>
      <c r="C16" s="19" t="s">
        <v>21</v>
      </c>
      <c r="D16" s="21">
        <v>0.0</v>
      </c>
      <c r="E16" s="19" t="s">
        <v>40</v>
      </c>
      <c r="F16" s="19" t="s">
        <v>41</v>
      </c>
      <c r="G16" s="19" t="s">
        <v>38</v>
      </c>
      <c r="H16" s="22">
        <v>13000.0</v>
      </c>
      <c r="I16" s="24"/>
      <c r="J16" s="23">
        <f t="shared" si="2"/>
        <v>0</v>
      </c>
    </row>
    <row r="17">
      <c r="A17" s="19">
        <v>3.0</v>
      </c>
      <c r="B17" s="20" t="s">
        <v>42</v>
      </c>
      <c r="C17" s="19" t="s">
        <v>21</v>
      </c>
      <c r="D17" s="21">
        <f>1/100</f>
        <v>0.01</v>
      </c>
      <c r="E17" s="19" t="s">
        <v>43</v>
      </c>
      <c r="F17" s="19" t="s">
        <v>44</v>
      </c>
      <c r="G17" s="19" t="s">
        <v>38</v>
      </c>
      <c r="H17" s="22">
        <v>10000.0</v>
      </c>
      <c r="I17" s="24"/>
      <c r="J17" s="23">
        <f t="shared" si="2"/>
        <v>100</v>
      </c>
    </row>
    <row r="18">
      <c r="A18" s="19">
        <v>4.0</v>
      </c>
      <c r="B18" s="20" t="s">
        <v>45</v>
      </c>
      <c r="C18" s="19" t="s">
        <v>46</v>
      </c>
      <c r="D18" s="21">
        <v>1.0</v>
      </c>
      <c r="E18" s="19" t="s">
        <v>47</v>
      </c>
      <c r="F18" s="19" t="s">
        <v>48</v>
      </c>
      <c r="G18" s="19" t="s">
        <v>49</v>
      </c>
      <c r="H18" s="22">
        <v>370.0</v>
      </c>
      <c r="I18" s="24"/>
      <c r="J18" s="23">
        <f t="shared" si="2"/>
        <v>370</v>
      </c>
    </row>
    <row r="19">
      <c r="A19" s="19">
        <v>5.0</v>
      </c>
      <c r="B19" s="20" t="s">
        <v>50</v>
      </c>
      <c r="C19" s="19" t="s">
        <v>46</v>
      </c>
      <c r="D19" s="21">
        <f>1/10</f>
        <v>0.1</v>
      </c>
      <c r="E19" s="19" t="s">
        <v>47</v>
      </c>
      <c r="F19" s="19" t="s">
        <v>51</v>
      </c>
      <c r="G19" s="19" t="s">
        <v>52</v>
      </c>
      <c r="H19" s="22">
        <v>587.0</v>
      </c>
      <c r="I19" s="24"/>
      <c r="J19" s="23">
        <f t="shared" si="2"/>
        <v>58.7</v>
      </c>
    </row>
    <row r="20">
      <c r="A20" s="19">
        <v>6.0</v>
      </c>
      <c r="B20" s="20" t="s">
        <v>53</v>
      </c>
      <c r="C20" s="19" t="s">
        <v>54</v>
      </c>
      <c r="D20" s="21">
        <f>1/100</f>
        <v>0.01</v>
      </c>
      <c r="E20" s="19" t="s">
        <v>47</v>
      </c>
      <c r="F20" s="19" t="s">
        <v>55</v>
      </c>
      <c r="G20" s="19" t="s">
        <v>56</v>
      </c>
      <c r="H20" s="22">
        <v>5000.0</v>
      </c>
      <c r="I20" s="24"/>
      <c r="J20" s="23">
        <f t="shared" si="2"/>
        <v>50</v>
      </c>
    </row>
    <row r="21">
      <c r="A21" s="19">
        <v>7.0</v>
      </c>
      <c r="B21" s="20" t="s">
        <v>57</v>
      </c>
      <c r="C21" s="19" t="s">
        <v>58</v>
      </c>
      <c r="D21" s="28">
        <v>1.0</v>
      </c>
      <c r="E21" s="19" t="s">
        <v>47</v>
      </c>
      <c r="F21" s="19" t="s">
        <v>60</v>
      </c>
      <c r="G21" s="19" t="s">
        <v>61</v>
      </c>
      <c r="H21" s="22">
        <v>3750.0</v>
      </c>
      <c r="I21" s="20"/>
      <c r="J21" s="23">
        <f t="shared" si="2"/>
        <v>3750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48" t="s">
        <v>13</v>
      </c>
      <c r="E23" s="31" t="s">
        <v>14</v>
      </c>
      <c r="F23" s="49" t="s">
        <v>32</v>
      </c>
      <c r="G23" s="31" t="s">
        <v>16</v>
      </c>
      <c r="H23" s="50" t="s">
        <v>65</v>
      </c>
      <c r="I23" s="32"/>
      <c r="J23" s="31" t="s">
        <v>19</v>
      </c>
    </row>
    <row r="24">
      <c r="A24" s="19">
        <v>1.0</v>
      </c>
      <c r="B24" s="19" t="s">
        <v>66</v>
      </c>
      <c r="C24" s="33"/>
      <c r="D24" s="34">
        <v>1.0</v>
      </c>
      <c r="E24" s="19" t="s">
        <v>47</v>
      </c>
      <c r="F24" s="33"/>
      <c r="G24" s="19" t="s">
        <v>68</v>
      </c>
      <c r="H24" s="22">
        <v>750.0</v>
      </c>
      <c r="I24" s="33"/>
      <c r="J24" s="23">
        <f t="shared" ref="J24:J27" si="3">D24*H24</f>
        <v>750</v>
      </c>
    </row>
    <row r="25">
      <c r="A25" s="19">
        <v>2.0</v>
      </c>
      <c r="B25" s="19" t="s">
        <v>69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2000.0</v>
      </c>
      <c r="I25" s="33"/>
      <c r="J25" s="23">
        <f t="shared" si="3"/>
        <v>2000</v>
      </c>
    </row>
    <row r="26">
      <c r="A26" s="19">
        <v>3.0</v>
      </c>
      <c r="B26" s="19" t="s">
        <v>71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2500.0</v>
      </c>
      <c r="I26" s="33"/>
      <c r="J26" s="23">
        <f t="shared" si="3"/>
        <v>2500</v>
      </c>
    </row>
    <row r="27">
      <c r="A27" s="19">
        <v>4.0</v>
      </c>
      <c r="B27" s="19" t="s">
        <v>72</v>
      </c>
      <c r="C27" s="33"/>
      <c r="D27" s="34">
        <v>1.0</v>
      </c>
      <c r="E27" s="19" t="s">
        <v>47</v>
      </c>
      <c r="F27" s="35"/>
      <c r="G27" s="19" t="s">
        <v>68</v>
      </c>
      <c r="H27" s="22">
        <v>2000.0</v>
      </c>
      <c r="I27" s="33"/>
      <c r="J27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106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SUM(J10:J12)</f>
        <v>35696.66667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SUM(J15:J21)</f>
        <v>5328.7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SUM(J24:J27)</f>
        <v>7250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48275.36667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95</v>
      </c>
      <c r="C10" s="19" t="s">
        <v>21</v>
      </c>
      <c r="D10" s="21">
        <f>1/6</f>
        <v>0.1666666667</v>
      </c>
      <c r="E10" s="19" t="s">
        <v>23</v>
      </c>
      <c r="F10" s="44" t="s">
        <v>96</v>
      </c>
      <c r="G10" s="19" t="s">
        <v>25</v>
      </c>
      <c r="H10" s="22">
        <v>118000.0</v>
      </c>
      <c r="I10" s="20"/>
      <c r="J10" s="23">
        <f t="shared" ref="J10:J12" si="1">D10*H10</f>
        <v>19666.66667</v>
      </c>
    </row>
    <row r="11">
      <c r="A11" s="19">
        <v>2.0</v>
      </c>
      <c r="B11" s="20" t="s">
        <v>28</v>
      </c>
      <c r="C11" s="19" t="s">
        <v>21</v>
      </c>
      <c r="D11" s="21">
        <f>1/100</f>
        <v>0.01</v>
      </c>
      <c r="E11" s="19" t="s">
        <v>23</v>
      </c>
      <c r="F11" s="44" t="s">
        <v>98</v>
      </c>
      <c r="G11" s="19" t="s">
        <v>25</v>
      </c>
      <c r="H11" s="22">
        <v>128000.0</v>
      </c>
      <c r="I11" s="24"/>
      <c r="J11" s="23">
        <f t="shared" si="1"/>
        <v>1280</v>
      </c>
    </row>
    <row r="12">
      <c r="A12" s="19">
        <v>3.0</v>
      </c>
      <c r="B12" s="20" t="s">
        <v>95</v>
      </c>
      <c r="C12" s="19" t="s">
        <v>21</v>
      </c>
      <c r="D12" s="21">
        <f>1/8</f>
        <v>0.125</v>
      </c>
      <c r="E12" s="19" t="s">
        <v>99</v>
      </c>
      <c r="F12" s="44" t="s">
        <v>107</v>
      </c>
      <c r="G12" s="19" t="s">
        <v>25</v>
      </c>
      <c r="H12" s="22">
        <v>118000.0</v>
      </c>
      <c r="I12" s="20"/>
      <c r="J12" s="23">
        <f t="shared" si="1"/>
        <v>14750</v>
      </c>
    </row>
    <row r="13">
      <c r="A13" s="25" t="s">
        <v>31</v>
      </c>
      <c r="J13" s="26"/>
    </row>
    <row r="14">
      <c r="A14" s="27" t="s">
        <v>10</v>
      </c>
      <c r="B14" s="27" t="s">
        <v>11</v>
      </c>
      <c r="C14" s="27" t="s">
        <v>12</v>
      </c>
      <c r="D14" s="45" t="s">
        <v>13</v>
      </c>
      <c r="E14" s="27" t="s">
        <v>14</v>
      </c>
      <c r="F14" s="27" t="s">
        <v>32</v>
      </c>
      <c r="G14" s="27" t="s">
        <v>16</v>
      </c>
      <c r="H14" s="46" t="s">
        <v>17</v>
      </c>
      <c r="I14" s="47" t="s">
        <v>18</v>
      </c>
      <c r="J14" s="27" t="s">
        <v>19</v>
      </c>
    </row>
    <row r="15">
      <c r="A15" s="19">
        <v>1.0</v>
      </c>
      <c r="B15" s="20" t="s">
        <v>33</v>
      </c>
      <c r="C15" s="19" t="s">
        <v>21</v>
      </c>
      <c r="D15" s="21">
        <f>4/100</f>
        <v>0.04</v>
      </c>
      <c r="E15" s="19" t="s">
        <v>35</v>
      </c>
      <c r="F15" s="19" t="s">
        <v>37</v>
      </c>
      <c r="G15" s="19" t="s">
        <v>38</v>
      </c>
      <c r="H15" s="22">
        <v>25000.0</v>
      </c>
      <c r="I15" s="24"/>
      <c r="J15" s="23">
        <f t="shared" ref="J15:J21" si="2">D15*H15</f>
        <v>1000</v>
      </c>
    </row>
    <row r="16">
      <c r="A16" s="19">
        <v>2.0</v>
      </c>
      <c r="B16" s="20" t="s">
        <v>39</v>
      </c>
      <c r="C16" s="19" t="s">
        <v>21</v>
      </c>
      <c r="D16" s="21">
        <v>0.0</v>
      </c>
      <c r="E16" s="19" t="s">
        <v>40</v>
      </c>
      <c r="F16" s="19" t="s">
        <v>41</v>
      </c>
      <c r="G16" s="19" t="s">
        <v>38</v>
      </c>
      <c r="H16" s="22">
        <v>13000.0</v>
      </c>
      <c r="I16" s="24"/>
      <c r="J16" s="23">
        <f t="shared" si="2"/>
        <v>0</v>
      </c>
    </row>
    <row r="17">
      <c r="A17" s="19">
        <v>3.0</v>
      </c>
      <c r="B17" s="20" t="s">
        <v>42</v>
      </c>
      <c r="C17" s="19" t="s">
        <v>21</v>
      </c>
      <c r="D17" s="21">
        <f>1/100</f>
        <v>0.01</v>
      </c>
      <c r="E17" s="19" t="s">
        <v>43</v>
      </c>
      <c r="F17" s="19" t="s">
        <v>44</v>
      </c>
      <c r="G17" s="19" t="s">
        <v>38</v>
      </c>
      <c r="H17" s="22">
        <v>10000.0</v>
      </c>
      <c r="I17" s="24"/>
      <c r="J17" s="23">
        <f t="shared" si="2"/>
        <v>100</v>
      </c>
    </row>
    <row r="18">
      <c r="A18" s="19">
        <v>4.0</v>
      </c>
      <c r="B18" s="20" t="s">
        <v>45</v>
      </c>
      <c r="C18" s="19" t="s">
        <v>46</v>
      </c>
      <c r="D18" s="21">
        <v>1.0</v>
      </c>
      <c r="E18" s="19" t="s">
        <v>47</v>
      </c>
      <c r="F18" s="19" t="s">
        <v>48</v>
      </c>
      <c r="G18" s="19" t="s">
        <v>49</v>
      </c>
      <c r="H18" s="22">
        <v>370.0</v>
      </c>
      <c r="I18" s="24"/>
      <c r="J18" s="23">
        <f t="shared" si="2"/>
        <v>370</v>
      </c>
    </row>
    <row r="19">
      <c r="A19" s="19">
        <v>5.0</v>
      </c>
      <c r="B19" s="20" t="s">
        <v>50</v>
      </c>
      <c r="C19" s="19" t="s">
        <v>46</v>
      </c>
      <c r="D19" s="21">
        <f>1/10</f>
        <v>0.1</v>
      </c>
      <c r="E19" s="19" t="s">
        <v>47</v>
      </c>
      <c r="F19" s="19" t="s">
        <v>51</v>
      </c>
      <c r="G19" s="19" t="s">
        <v>52</v>
      </c>
      <c r="H19" s="22">
        <v>587.0</v>
      </c>
      <c r="I19" s="24"/>
      <c r="J19" s="23">
        <f t="shared" si="2"/>
        <v>58.7</v>
      </c>
    </row>
    <row r="20">
      <c r="A20" s="19">
        <v>6.0</v>
      </c>
      <c r="B20" s="20" t="s">
        <v>53</v>
      </c>
      <c r="C20" s="19" t="s">
        <v>54</v>
      </c>
      <c r="D20" s="21">
        <f>1/100</f>
        <v>0.01</v>
      </c>
      <c r="E20" s="19" t="s">
        <v>47</v>
      </c>
      <c r="F20" s="19" t="s">
        <v>55</v>
      </c>
      <c r="G20" s="19" t="s">
        <v>56</v>
      </c>
      <c r="H20" s="22">
        <v>5000.0</v>
      </c>
      <c r="I20" s="24"/>
      <c r="J20" s="23">
        <f t="shared" si="2"/>
        <v>50</v>
      </c>
    </row>
    <row r="21">
      <c r="A21" s="19">
        <v>7.0</v>
      </c>
      <c r="B21" s="20" t="s">
        <v>57</v>
      </c>
      <c r="C21" s="19" t="s">
        <v>58</v>
      </c>
      <c r="D21" s="28">
        <v>1.0</v>
      </c>
      <c r="E21" s="19" t="s">
        <v>47</v>
      </c>
      <c r="F21" s="19" t="s">
        <v>60</v>
      </c>
      <c r="G21" s="19" t="s">
        <v>61</v>
      </c>
      <c r="H21" s="22">
        <v>3750.0</v>
      </c>
      <c r="I21" s="20"/>
      <c r="J21" s="23">
        <f t="shared" si="2"/>
        <v>3750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48" t="s">
        <v>13</v>
      </c>
      <c r="E23" s="31" t="s">
        <v>14</v>
      </c>
      <c r="F23" s="49" t="s">
        <v>32</v>
      </c>
      <c r="G23" s="31" t="s">
        <v>16</v>
      </c>
      <c r="H23" s="50" t="s">
        <v>65</v>
      </c>
      <c r="I23" s="32"/>
      <c r="J23" s="31" t="s">
        <v>19</v>
      </c>
    </row>
    <row r="24">
      <c r="A24" s="19">
        <v>1.0</v>
      </c>
      <c r="B24" s="19" t="s">
        <v>66</v>
      </c>
      <c r="C24" s="33"/>
      <c r="D24" s="34">
        <v>1.0</v>
      </c>
      <c r="E24" s="19" t="s">
        <v>47</v>
      </c>
      <c r="F24" s="33"/>
      <c r="G24" s="19" t="s">
        <v>68</v>
      </c>
      <c r="H24" s="22">
        <v>750.0</v>
      </c>
      <c r="I24" s="33"/>
      <c r="J24" s="23">
        <f t="shared" ref="J24:J27" si="3">D24*H24</f>
        <v>750</v>
      </c>
    </row>
    <row r="25">
      <c r="A25" s="19">
        <v>2.0</v>
      </c>
      <c r="B25" s="19" t="s">
        <v>69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2000.0</v>
      </c>
      <c r="I25" s="33"/>
      <c r="J25" s="23">
        <f t="shared" si="3"/>
        <v>2000</v>
      </c>
    </row>
    <row r="26">
      <c r="A26" s="19">
        <v>3.0</v>
      </c>
      <c r="B26" s="19" t="s">
        <v>71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2500.0</v>
      </c>
      <c r="I26" s="33"/>
      <c r="J26" s="23">
        <f t="shared" si="3"/>
        <v>2500</v>
      </c>
    </row>
    <row r="27">
      <c r="A27" s="19">
        <v>4.0</v>
      </c>
      <c r="B27" s="19" t="s">
        <v>72</v>
      </c>
      <c r="C27" s="33"/>
      <c r="D27" s="34">
        <v>1.0</v>
      </c>
      <c r="E27" s="19" t="s">
        <v>47</v>
      </c>
      <c r="F27" s="35"/>
      <c r="G27" s="19" t="s">
        <v>68</v>
      </c>
      <c r="H27" s="22">
        <v>2000.0</v>
      </c>
      <c r="I27" s="33"/>
      <c r="J27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51" t="s">
        <v>108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24142.85714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3762.033333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10250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38154.89048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110</v>
      </c>
      <c r="C10" s="19" t="s">
        <v>21</v>
      </c>
      <c r="D10" s="21">
        <f>1/3.5</f>
        <v>0.2857142857</v>
      </c>
      <c r="E10" s="19" t="s">
        <v>23</v>
      </c>
      <c r="F10" s="44" t="s">
        <v>111</v>
      </c>
      <c r="G10" s="19" t="s">
        <v>112</v>
      </c>
      <c r="H10" s="52">
        <v>60000.0</v>
      </c>
      <c r="I10" s="20"/>
      <c r="J10" s="23">
        <f t="shared" ref="J10:J11" si="1">D10*H10</f>
        <v>17142.85714</v>
      </c>
    </row>
    <row r="11">
      <c r="A11" s="19">
        <v>2.0</v>
      </c>
      <c r="B11" s="20" t="s">
        <v>113</v>
      </c>
      <c r="C11" s="19" t="s">
        <v>21</v>
      </c>
      <c r="D11" s="21">
        <v>1.0</v>
      </c>
      <c r="E11" s="19" t="s">
        <v>114</v>
      </c>
      <c r="F11" s="53"/>
      <c r="G11" s="19" t="s">
        <v>112</v>
      </c>
      <c r="H11" s="52">
        <v>7000.0</v>
      </c>
      <c r="I11" s="24"/>
      <c r="J11" s="23">
        <f t="shared" si="1"/>
        <v>7000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1/100</f>
        <v>0.01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250</v>
      </c>
    </row>
    <row r="15">
      <c r="A15" s="19">
        <v>2.0</v>
      </c>
      <c r="B15" s="20" t="s">
        <v>39</v>
      </c>
      <c r="C15" s="19" t="s">
        <v>21</v>
      </c>
      <c r="D15" s="21">
        <f>4/120</f>
        <v>0.03333333333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433.3333333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59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62</v>
      </c>
      <c r="H20" s="22">
        <v>2500.0</v>
      </c>
      <c r="I20" s="24"/>
      <c r="J20" s="23">
        <f t="shared" si="2"/>
        <v>2500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4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54">
        <v>5500.0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>D26*H26</f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51" t="s">
        <v>109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24142.85714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5012.033333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10250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39404.89048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110</v>
      </c>
      <c r="C10" s="19" t="s">
        <v>21</v>
      </c>
      <c r="D10" s="21">
        <f>1/3.5</f>
        <v>0.2857142857</v>
      </c>
      <c r="E10" s="19" t="s">
        <v>23</v>
      </c>
      <c r="F10" s="44" t="s">
        <v>111</v>
      </c>
      <c r="G10" s="19" t="s">
        <v>112</v>
      </c>
      <c r="H10" s="52">
        <v>60000.0</v>
      </c>
      <c r="I10" s="20"/>
      <c r="J10" s="23">
        <f t="shared" ref="J10:J11" si="1">D10*H10</f>
        <v>17142.85714</v>
      </c>
    </row>
    <row r="11">
      <c r="A11" s="19">
        <v>2.0</v>
      </c>
      <c r="B11" s="20" t="s">
        <v>113</v>
      </c>
      <c r="C11" s="19" t="s">
        <v>21</v>
      </c>
      <c r="D11" s="21">
        <v>1.0</v>
      </c>
      <c r="E11" s="19" t="s">
        <v>114</v>
      </c>
      <c r="F11" s="53"/>
      <c r="G11" s="19" t="s">
        <v>115</v>
      </c>
      <c r="H11" s="52">
        <v>7000.0</v>
      </c>
      <c r="I11" s="24"/>
      <c r="J11" s="23">
        <f t="shared" si="1"/>
        <v>7000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1/100</f>
        <v>0.01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250</v>
      </c>
    </row>
    <row r="15">
      <c r="A15" s="19">
        <v>2.0</v>
      </c>
      <c r="B15" s="20" t="s">
        <v>39</v>
      </c>
      <c r="C15" s="19" t="s">
        <v>21</v>
      </c>
      <c r="D15" s="21">
        <f>4/120</f>
        <v>0.03333333333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433.3333333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57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61</v>
      </c>
      <c r="H20" s="22">
        <v>3750.0</v>
      </c>
      <c r="I20" s="24"/>
      <c r="J20" s="23">
        <f t="shared" si="2"/>
        <v>3750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4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54">
        <v>5500.0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>D26*H26</f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51" t="s">
        <v>116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27000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3762.033333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10250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41012.03333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110</v>
      </c>
      <c r="C10" s="19" t="s">
        <v>21</v>
      </c>
      <c r="D10" s="21">
        <f>1/3</f>
        <v>0.3333333333</v>
      </c>
      <c r="E10" s="19" t="s">
        <v>23</v>
      </c>
      <c r="F10" s="55" t="s">
        <v>118</v>
      </c>
      <c r="G10" s="19" t="s">
        <v>112</v>
      </c>
      <c r="H10" s="52">
        <v>60000.0</v>
      </c>
      <c r="I10" s="20"/>
      <c r="J10" s="23">
        <f t="shared" ref="J10:J11" si="1">D10*H10</f>
        <v>20000</v>
      </c>
    </row>
    <row r="11">
      <c r="A11" s="19">
        <v>2.0</v>
      </c>
      <c r="B11" s="20" t="s">
        <v>113</v>
      </c>
      <c r="C11" s="19" t="s">
        <v>21</v>
      </c>
      <c r="D11" s="21">
        <v>1.0</v>
      </c>
      <c r="E11" s="19" t="s">
        <v>114</v>
      </c>
      <c r="F11" s="53"/>
      <c r="G11" s="19" t="s">
        <v>112</v>
      </c>
      <c r="H11" s="52">
        <v>7000.0</v>
      </c>
      <c r="I11" s="24"/>
      <c r="J11" s="23">
        <f t="shared" si="1"/>
        <v>7000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1/100</f>
        <v>0.01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250</v>
      </c>
    </row>
    <row r="15">
      <c r="A15" s="19">
        <v>2.0</v>
      </c>
      <c r="B15" s="20" t="s">
        <v>39</v>
      </c>
      <c r="C15" s="19" t="s">
        <v>21</v>
      </c>
      <c r="D15" s="21">
        <f>4/120</f>
        <v>0.03333333333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433.3333333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59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62</v>
      </c>
      <c r="H20" s="22">
        <v>2500.0</v>
      </c>
      <c r="I20" s="24"/>
      <c r="J20" s="23">
        <f t="shared" si="2"/>
        <v>2500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4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54">
        <v>5500.0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>D26*H26</f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117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27000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SUM(J14:J20)</f>
        <v>5012.033333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SUM(J23:J26)</f>
        <v>10250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42262.03333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110</v>
      </c>
      <c r="C10" s="19" t="s">
        <v>21</v>
      </c>
      <c r="D10" s="21">
        <f>1/3</f>
        <v>0.3333333333</v>
      </c>
      <c r="E10" s="19" t="s">
        <v>23</v>
      </c>
      <c r="F10" s="55" t="s">
        <v>118</v>
      </c>
      <c r="G10" s="19" t="s">
        <v>112</v>
      </c>
      <c r="H10" s="52">
        <v>60000.0</v>
      </c>
      <c r="I10" s="20"/>
      <c r="J10" s="23">
        <f t="shared" ref="J10:J11" si="1">D10*H10</f>
        <v>20000</v>
      </c>
    </row>
    <row r="11">
      <c r="A11" s="19">
        <v>2.0</v>
      </c>
      <c r="B11" s="20" t="s">
        <v>113</v>
      </c>
      <c r="C11" s="19" t="s">
        <v>21</v>
      </c>
      <c r="D11" s="21">
        <v>1.0</v>
      </c>
      <c r="E11" s="19" t="s">
        <v>114</v>
      </c>
      <c r="F11" s="53"/>
      <c r="G11" s="19" t="s">
        <v>112</v>
      </c>
      <c r="H11" s="52">
        <v>7000.0</v>
      </c>
      <c r="I11" s="24"/>
      <c r="J11" s="23">
        <f t="shared" si="1"/>
        <v>7000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1/100</f>
        <v>0.01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0" si="2">D14*H14</f>
        <v>250</v>
      </c>
    </row>
    <row r="15">
      <c r="A15" s="19">
        <v>2.0</v>
      </c>
      <c r="B15" s="20" t="s">
        <v>39</v>
      </c>
      <c r="C15" s="19" t="s">
        <v>21</v>
      </c>
      <c r="D15" s="21">
        <f>4/120</f>
        <v>0.03333333333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433.3333333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57</v>
      </c>
      <c r="C20" s="19" t="s">
        <v>58</v>
      </c>
      <c r="D20" s="28">
        <v>1.0</v>
      </c>
      <c r="E20" s="19" t="s">
        <v>47</v>
      </c>
      <c r="F20" s="19" t="s">
        <v>60</v>
      </c>
      <c r="G20" s="19" t="s">
        <v>61</v>
      </c>
      <c r="H20" s="22">
        <v>3750.0</v>
      </c>
      <c r="I20" s="24"/>
      <c r="J20" s="23">
        <f t="shared" si="2"/>
        <v>3750</v>
      </c>
    </row>
    <row r="21">
      <c r="A21" s="29" t="s">
        <v>63</v>
      </c>
      <c r="J21" s="30"/>
    </row>
    <row r="22">
      <c r="A22" s="31" t="s">
        <v>10</v>
      </c>
      <c r="B22" s="31" t="s">
        <v>64</v>
      </c>
      <c r="C22" s="32"/>
      <c r="D22" s="31" t="s">
        <v>13</v>
      </c>
      <c r="E22" s="31" t="s">
        <v>14</v>
      </c>
      <c r="F22" s="31" t="s">
        <v>32</v>
      </c>
      <c r="G22" s="31" t="s">
        <v>16</v>
      </c>
      <c r="H22" s="31" t="s">
        <v>65</v>
      </c>
      <c r="I22" s="32"/>
      <c r="J22" s="31" t="s">
        <v>19</v>
      </c>
    </row>
    <row r="23">
      <c r="A23" s="19">
        <v>1.0</v>
      </c>
      <c r="B23" s="19" t="s">
        <v>66</v>
      </c>
      <c r="C23" s="33"/>
      <c r="D23" s="34">
        <v>1.0</v>
      </c>
      <c r="E23" s="19" t="s">
        <v>47</v>
      </c>
      <c r="F23" s="33"/>
      <c r="G23" s="19" t="s">
        <v>68</v>
      </c>
      <c r="H23" s="22">
        <v>750.0</v>
      </c>
      <c r="I23" s="33"/>
      <c r="J23" s="23">
        <f t="shared" ref="J23:J24" si="3">D23*H23</f>
        <v>750</v>
      </c>
    </row>
    <row r="24">
      <c r="A24" s="19">
        <v>2.0</v>
      </c>
      <c r="B24" s="19" t="s">
        <v>69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2000.0</v>
      </c>
      <c r="I24" s="33"/>
      <c r="J24" s="23">
        <f t="shared" si="3"/>
        <v>2000</v>
      </c>
    </row>
    <row r="25">
      <c r="A25" s="19">
        <v>3.0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2500.0</v>
      </c>
      <c r="I25" s="33"/>
      <c r="J25" s="54">
        <v>5500.0</v>
      </c>
    </row>
    <row r="26">
      <c r="A26" s="19">
        <v>4.0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>D26*H26</f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1:I21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119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18000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SUM(J14:J21)</f>
        <v>17462.03333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SUM(J24:J27)</f>
        <v>6750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42212.03333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122</v>
      </c>
      <c r="C10" s="20"/>
      <c r="D10" s="21">
        <f>0.9/3.3</f>
        <v>0.2727272727</v>
      </c>
      <c r="E10" s="20"/>
      <c r="F10" s="44" t="s">
        <v>123</v>
      </c>
      <c r="G10" s="19" t="s">
        <v>125</v>
      </c>
      <c r="H10" s="52">
        <v>66000.0</v>
      </c>
      <c r="I10" s="20"/>
      <c r="J10" s="23">
        <f t="shared" ref="J10:J11" si="1">D10*H10</f>
        <v>18000</v>
      </c>
    </row>
    <row r="11">
      <c r="A11" s="19">
        <v>2.0</v>
      </c>
      <c r="B11" s="20"/>
      <c r="C11" s="20"/>
      <c r="D11" s="56"/>
      <c r="E11" s="20"/>
      <c r="F11" s="53"/>
      <c r="G11" s="19" t="s">
        <v>125</v>
      </c>
      <c r="H11" s="57"/>
      <c r="I11" s="24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1/100</f>
        <v>0.01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1" si="2">D14*H14</f>
        <v>250</v>
      </c>
    </row>
    <row r="15">
      <c r="A15" s="19">
        <v>2.0</v>
      </c>
      <c r="B15" s="20" t="s">
        <v>39</v>
      </c>
      <c r="C15" s="19" t="s">
        <v>21</v>
      </c>
      <c r="D15" s="21">
        <f>4/120</f>
        <v>0.03333333333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433.3333333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126</v>
      </c>
      <c r="C20" s="19" t="s">
        <v>127</v>
      </c>
      <c r="D20" s="59">
        <v>0.9</v>
      </c>
      <c r="E20" s="19" t="s">
        <v>128</v>
      </c>
      <c r="F20" s="19" t="s">
        <v>131</v>
      </c>
      <c r="G20" s="19" t="s">
        <v>61</v>
      </c>
      <c r="H20" s="22">
        <v>18000.0</v>
      </c>
      <c r="I20" s="24"/>
      <c r="J20" s="23">
        <f t="shared" si="2"/>
        <v>16200</v>
      </c>
    </row>
    <row r="21">
      <c r="A21" s="19">
        <v>8.0</v>
      </c>
      <c r="B21" s="20"/>
      <c r="C21" s="20"/>
      <c r="D21" s="61"/>
      <c r="E21" s="20"/>
      <c r="F21" s="20"/>
      <c r="G21" s="20"/>
      <c r="H21" s="62"/>
      <c r="I21" s="24"/>
      <c r="J21" s="23">
        <f t="shared" si="2"/>
        <v>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31" t="s">
        <v>13</v>
      </c>
      <c r="E23" s="31" t="s">
        <v>14</v>
      </c>
      <c r="F23" s="31" t="s">
        <v>32</v>
      </c>
      <c r="G23" s="31" t="s">
        <v>16</v>
      </c>
      <c r="H23" s="31" t="s">
        <v>65</v>
      </c>
      <c r="I23" s="32"/>
      <c r="J23" s="31" t="s">
        <v>19</v>
      </c>
    </row>
    <row r="24">
      <c r="A24" s="19">
        <v>1.0</v>
      </c>
      <c r="B24" s="19" t="s">
        <v>66</v>
      </c>
      <c r="C24" s="33"/>
      <c r="D24" s="34">
        <v>1.0</v>
      </c>
      <c r="E24" s="19" t="s">
        <v>47</v>
      </c>
      <c r="F24" s="33"/>
      <c r="G24" s="19" t="s">
        <v>68</v>
      </c>
      <c r="H24" s="22">
        <v>1750.0</v>
      </c>
      <c r="I24" s="33"/>
      <c r="J24" s="23">
        <f t="shared" ref="J24:J27" si="3">D24*H24</f>
        <v>1750</v>
      </c>
    </row>
    <row r="25">
      <c r="A25" s="19">
        <v>2.0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3000.0</v>
      </c>
      <c r="I25" s="33"/>
      <c r="J25" s="23">
        <f t="shared" si="3"/>
        <v>3000</v>
      </c>
    </row>
    <row r="26">
      <c r="A26" s="19">
        <v>3.0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  <row r="27">
      <c r="A27" s="19">
        <v>4.0</v>
      </c>
      <c r="B27" s="20"/>
      <c r="C27" s="33"/>
      <c r="D27" s="69"/>
      <c r="E27" s="20"/>
      <c r="F27" s="35"/>
      <c r="G27" s="20"/>
      <c r="H27" s="62"/>
      <c r="I27" s="33"/>
      <c r="J27" s="23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3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120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">
        <f>SUM(J10:J11)</f>
        <v>19090.90909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11">
        <f>SUM(J14:J21)</f>
        <v>17462.03333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13">
        <f>SUM(J24:J27)</f>
        <v>6750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4">
        <f>SUM(C3:D5)</f>
        <v>43302.94242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121</v>
      </c>
      <c r="C10" s="20"/>
      <c r="D10" s="21">
        <f>0.9/3.3</f>
        <v>0.2727272727</v>
      </c>
      <c r="E10" s="20"/>
      <c r="F10" s="44" t="s">
        <v>123</v>
      </c>
      <c r="G10" s="19" t="s">
        <v>124</v>
      </c>
      <c r="H10" s="52">
        <v>70000.0</v>
      </c>
      <c r="I10" s="20"/>
      <c r="J10" s="23">
        <f t="shared" ref="J10:J11" si="1">D10*H10</f>
        <v>19090.90909</v>
      </c>
    </row>
    <row r="11">
      <c r="A11" s="19">
        <v>2.0</v>
      </c>
      <c r="B11" s="20"/>
      <c r="C11" s="20"/>
      <c r="D11" s="56"/>
      <c r="E11" s="20"/>
      <c r="F11" s="53"/>
      <c r="G11" s="20"/>
      <c r="H11" s="57"/>
      <c r="I11" s="24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1/100</f>
        <v>0.01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1" si="2">D14*H14</f>
        <v>250</v>
      </c>
    </row>
    <row r="15">
      <c r="A15" s="19">
        <v>2.0</v>
      </c>
      <c r="B15" s="20" t="s">
        <v>39</v>
      </c>
      <c r="C15" s="19" t="s">
        <v>21</v>
      </c>
      <c r="D15" s="21">
        <f>4/120</f>
        <v>0.03333333333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433.3333333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126</v>
      </c>
      <c r="C20" s="19" t="s">
        <v>127</v>
      </c>
      <c r="D20" s="59">
        <v>0.9</v>
      </c>
      <c r="E20" s="19" t="s">
        <v>128</v>
      </c>
      <c r="F20" s="19" t="s">
        <v>129</v>
      </c>
      <c r="G20" s="19" t="s">
        <v>61</v>
      </c>
      <c r="H20" s="22">
        <v>18000.0</v>
      </c>
      <c r="I20" s="24"/>
      <c r="J20" s="23">
        <f t="shared" si="2"/>
        <v>16200</v>
      </c>
    </row>
    <row r="21">
      <c r="A21" s="19">
        <v>8.0</v>
      </c>
      <c r="B21" s="20"/>
      <c r="C21" s="20"/>
      <c r="D21" s="61"/>
      <c r="E21" s="20"/>
      <c r="F21" s="20"/>
      <c r="G21" s="20"/>
      <c r="H21" s="62"/>
      <c r="I21" s="24"/>
      <c r="J21" s="23">
        <f t="shared" si="2"/>
        <v>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31" t="s">
        <v>13</v>
      </c>
      <c r="E23" s="31" t="s">
        <v>14</v>
      </c>
      <c r="F23" s="31" t="s">
        <v>32</v>
      </c>
      <c r="G23" s="31" t="s">
        <v>16</v>
      </c>
      <c r="H23" s="31" t="s">
        <v>65</v>
      </c>
      <c r="I23" s="32"/>
      <c r="J23" s="31" t="s">
        <v>19</v>
      </c>
    </row>
    <row r="24">
      <c r="A24" s="19">
        <v>1.0</v>
      </c>
      <c r="B24" s="19" t="s">
        <v>66</v>
      </c>
      <c r="C24" s="33"/>
      <c r="D24" s="34">
        <v>1.0</v>
      </c>
      <c r="E24" s="19" t="s">
        <v>47</v>
      </c>
      <c r="F24" s="33"/>
      <c r="G24" s="19" t="s">
        <v>68</v>
      </c>
      <c r="H24" s="22">
        <v>1750.0</v>
      </c>
      <c r="I24" s="33"/>
      <c r="J24" s="23">
        <f t="shared" ref="J24:J27" si="3">D24*H24</f>
        <v>1750</v>
      </c>
    </row>
    <row r="25">
      <c r="A25" s="19">
        <v>2.0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3000.0</v>
      </c>
      <c r="I25" s="33"/>
      <c r="J25" s="23">
        <f t="shared" si="3"/>
        <v>3000</v>
      </c>
    </row>
    <row r="26">
      <c r="A26" s="19">
        <v>3.0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  <row r="27">
      <c r="A27" s="19">
        <v>4.0</v>
      </c>
      <c r="B27" s="20"/>
      <c r="C27" s="33"/>
      <c r="D27" s="69"/>
      <c r="E27" s="20"/>
      <c r="F27" s="35"/>
      <c r="G27" s="20"/>
      <c r="H27" s="62"/>
      <c r="I27" s="33"/>
      <c r="J27" s="23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130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67">
        <f>SUM(J10:J11)</f>
        <v>20000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70">
        <f>SUM(J14:J21)</f>
        <v>21062.03333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72">
        <f>SUM(J24:J27)</f>
        <v>7250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73">
        <f>SUM(C3:D5)</f>
        <v>48312.03333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122</v>
      </c>
      <c r="C10" s="75"/>
      <c r="D10" s="77">
        <f>1/3.3</f>
        <v>0.303030303</v>
      </c>
      <c r="E10" s="75"/>
      <c r="F10" s="78" t="s">
        <v>135</v>
      </c>
      <c r="G10" s="75" t="s">
        <v>125</v>
      </c>
      <c r="H10" s="79">
        <v>66000.0</v>
      </c>
      <c r="I10" s="75"/>
      <c r="J10" s="39">
        <f t="shared" ref="J10:J11" si="1">D10*H10</f>
        <v>20000</v>
      </c>
    </row>
    <row r="11">
      <c r="A11" s="75">
        <v>2.0</v>
      </c>
      <c r="B11" s="76"/>
      <c r="C11" s="75"/>
      <c r="D11" s="77"/>
      <c r="E11" s="75"/>
      <c r="F11" s="78"/>
      <c r="G11" s="75" t="s">
        <v>125</v>
      </c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126</v>
      </c>
      <c r="C20" s="75" t="s">
        <v>127</v>
      </c>
      <c r="D20" s="82">
        <v>1.1</v>
      </c>
      <c r="E20" s="75" t="s">
        <v>128</v>
      </c>
      <c r="F20" s="75" t="s">
        <v>138</v>
      </c>
      <c r="G20" s="75" t="s">
        <v>61</v>
      </c>
      <c r="H20" s="81">
        <v>18000.0</v>
      </c>
      <c r="I20" s="80"/>
      <c r="J20" s="39">
        <f t="shared" si="2"/>
        <v>19800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1750.0</v>
      </c>
      <c r="I24" s="88"/>
      <c r="J24" s="39">
        <f t="shared" ref="J24:J27" si="3">D24*H24</f>
        <v>1750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3500.0</v>
      </c>
      <c r="I25" s="88"/>
      <c r="J25" s="39">
        <f t="shared" si="3"/>
        <v>3500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/>
      <c r="C27" s="86"/>
      <c r="D27" s="87"/>
      <c r="E27" s="75"/>
      <c r="F27" s="89"/>
      <c r="G27" s="75"/>
      <c r="H27" s="81"/>
      <c r="I27" s="88"/>
      <c r="J27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132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67">
        <f>SUM(J10:J11)</f>
        <v>21212.12121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70">
        <f>SUM(J14:J21)</f>
        <v>21062.03333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72">
        <f>SUM(J24:J27)</f>
        <v>7250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73">
        <f>SUM(C3:D5)</f>
        <v>49524.15455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121</v>
      </c>
      <c r="C10" s="75"/>
      <c r="D10" s="77">
        <f>1/3.3</f>
        <v>0.303030303</v>
      </c>
      <c r="E10" s="75"/>
      <c r="F10" s="78" t="s">
        <v>135</v>
      </c>
      <c r="G10" s="75" t="s">
        <v>136</v>
      </c>
      <c r="H10" s="79">
        <v>70000.0</v>
      </c>
      <c r="I10" s="75"/>
      <c r="J10" s="39">
        <f t="shared" ref="J10:J11" si="1">D10*H10</f>
        <v>21212.12121</v>
      </c>
    </row>
    <row r="11">
      <c r="A11" s="75">
        <v>2.0</v>
      </c>
      <c r="B11" s="76"/>
      <c r="C11" s="75"/>
      <c r="D11" s="77"/>
      <c r="E11" s="75"/>
      <c r="F11" s="78"/>
      <c r="G11" s="75" t="s">
        <v>136</v>
      </c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126</v>
      </c>
      <c r="C20" s="75" t="s">
        <v>127</v>
      </c>
      <c r="D20" s="82">
        <v>1.1</v>
      </c>
      <c r="E20" s="75" t="s">
        <v>128</v>
      </c>
      <c r="F20" s="75" t="s">
        <v>131</v>
      </c>
      <c r="G20" s="75" t="s">
        <v>61</v>
      </c>
      <c r="H20" s="81">
        <v>18000.0</v>
      </c>
      <c r="I20" s="80"/>
      <c r="J20" s="39">
        <f t="shared" si="2"/>
        <v>19800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1750.0</v>
      </c>
      <c r="I24" s="88"/>
      <c r="J24" s="39">
        <f t="shared" ref="J24:J27" si="3">D24*H24</f>
        <v>1750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3500.0</v>
      </c>
      <c r="I25" s="88"/>
      <c r="J25" s="39">
        <f t="shared" si="3"/>
        <v>3500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/>
      <c r="C27" s="86"/>
      <c r="D27" s="87"/>
      <c r="E27" s="75"/>
      <c r="F27" s="89"/>
      <c r="G27" s="75"/>
      <c r="H27" s="81"/>
      <c r="I27" s="88"/>
      <c r="J27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133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67">
        <f>SUM(J10:J11)</f>
        <v>18000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70">
        <f>SUM(J14:J21)</f>
        <v>19262.03333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72">
        <f>SUM(J24:J27)</f>
        <v>6750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73">
        <f>SUM(C3:D5)</f>
        <v>44012.03333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122</v>
      </c>
      <c r="C10" s="75"/>
      <c r="D10" s="77">
        <f>0.9/3.3</f>
        <v>0.2727272727</v>
      </c>
      <c r="E10" s="75"/>
      <c r="F10" s="78" t="s">
        <v>137</v>
      </c>
      <c r="G10" s="75" t="s">
        <v>125</v>
      </c>
      <c r="H10" s="79">
        <v>66000.0</v>
      </c>
      <c r="I10" s="75"/>
      <c r="J10" s="39">
        <f t="shared" ref="J10:J11" si="1">D10*H10</f>
        <v>18000</v>
      </c>
    </row>
    <row r="11">
      <c r="A11" s="75">
        <v>2.0</v>
      </c>
      <c r="B11" s="76"/>
      <c r="C11" s="75"/>
      <c r="D11" s="77"/>
      <c r="E11" s="75"/>
      <c r="F11" s="78"/>
      <c r="G11" s="75" t="s">
        <v>125</v>
      </c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126</v>
      </c>
      <c r="C20" s="75" t="s">
        <v>127</v>
      </c>
      <c r="D20" s="82">
        <v>1.0</v>
      </c>
      <c r="E20" s="75" t="s">
        <v>128</v>
      </c>
      <c r="F20" s="75" t="s">
        <v>139</v>
      </c>
      <c r="G20" s="75" t="s">
        <v>61</v>
      </c>
      <c r="H20" s="81">
        <v>18000.0</v>
      </c>
      <c r="I20" s="80"/>
      <c r="J20" s="39">
        <f t="shared" si="2"/>
        <v>18000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1750.0</v>
      </c>
      <c r="I24" s="88"/>
      <c r="J24" s="39">
        <f t="shared" ref="J24:J27" si="3">D24*H24</f>
        <v>1750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3000.0</v>
      </c>
      <c r="I25" s="88"/>
      <c r="J25" s="39">
        <f t="shared" si="3"/>
        <v>3000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/>
      <c r="C27" s="86"/>
      <c r="D27" s="87"/>
      <c r="E27" s="75"/>
      <c r="F27" s="89"/>
      <c r="G27" s="75"/>
      <c r="H27" s="81"/>
      <c r="I27" s="88"/>
      <c r="J27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134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67">
        <f>SUM(J10:J11)</f>
        <v>19090.90909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70">
        <f>SUM(J14:J21)</f>
        <v>19262.03333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72">
        <f>SUM(J24:J27)</f>
        <v>7650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73">
        <f>SUM(C3:D5)</f>
        <v>46002.94242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121</v>
      </c>
      <c r="C10" s="75"/>
      <c r="D10" s="77">
        <f>0.9/3.3</f>
        <v>0.2727272727</v>
      </c>
      <c r="E10" s="75"/>
      <c r="F10" s="78" t="s">
        <v>123</v>
      </c>
      <c r="G10" s="75" t="s">
        <v>136</v>
      </c>
      <c r="H10" s="79">
        <v>70000.0</v>
      </c>
      <c r="I10" s="75"/>
      <c r="J10" s="39">
        <f t="shared" ref="J10:J11" si="1">D10*H10</f>
        <v>19090.90909</v>
      </c>
    </row>
    <row r="11">
      <c r="A11" s="75">
        <v>2.0</v>
      </c>
      <c r="B11" s="76"/>
      <c r="C11" s="75"/>
      <c r="D11" s="77"/>
      <c r="E11" s="75"/>
      <c r="F11" s="78"/>
      <c r="G11" s="75" t="s">
        <v>136</v>
      </c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126</v>
      </c>
      <c r="C20" s="75" t="s">
        <v>127</v>
      </c>
      <c r="D20" s="82">
        <v>1.0</v>
      </c>
      <c r="E20" s="75" t="s">
        <v>128</v>
      </c>
      <c r="F20" s="75" t="s">
        <v>139</v>
      </c>
      <c r="G20" s="75" t="s">
        <v>61</v>
      </c>
      <c r="H20" s="81">
        <v>18000.0</v>
      </c>
      <c r="I20" s="80"/>
      <c r="J20" s="39">
        <f t="shared" si="2"/>
        <v>18000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1750.0</v>
      </c>
      <c r="I24" s="88"/>
      <c r="J24" s="39">
        <f t="shared" ref="J24:J27" si="3">D24*H24</f>
        <v>1750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3000.0</v>
      </c>
      <c r="I25" s="88"/>
      <c r="J25" s="39">
        <f t="shared" si="3"/>
        <v>3000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140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67">
        <f>SUM(J10:J11)</f>
        <v>22000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70">
        <f>SUM(J14:J21)</f>
        <v>22862.03333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72">
        <f>SUM(J24:J27)</f>
        <v>7650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73">
        <f>SUM(C3:D5)</f>
        <v>52512.03333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122</v>
      </c>
      <c r="C10" s="75"/>
      <c r="D10" s="77">
        <f>1.1/3.3</f>
        <v>0.3333333333</v>
      </c>
      <c r="E10" s="75"/>
      <c r="F10" s="78" t="s">
        <v>145</v>
      </c>
      <c r="G10" s="75" t="s">
        <v>125</v>
      </c>
      <c r="H10" s="79">
        <v>66000.0</v>
      </c>
      <c r="I10" s="75"/>
      <c r="J10" s="39">
        <f t="shared" ref="J10:J11" si="1">D10*H10</f>
        <v>22000</v>
      </c>
    </row>
    <row r="11">
      <c r="A11" s="75">
        <v>2.0</v>
      </c>
      <c r="B11" s="76"/>
      <c r="C11" s="75"/>
      <c r="D11" s="77"/>
      <c r="E11" s="75"/>
      <c r="F11" s="78"/>
      <c r="G11" s="75" t="s">
        <v>125</v>
      </c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126</v>
      </c>
      <c r="C20" s="75" t="s">
        <v>127</v>
      </c>
      <c r="D20" s="82">
        <v>1.2</v>
      </c>
      <c r="E20" s="75" t="s">
        <v>128</v>
      </c>
      <c r="F20" s="75" t="s">
        <v>146</v>
      </c>
      <c r="G20" s="75" t="s">
        <v>61</v>
      </c>
      <c r="H20" s="81">
        <v>18000.0</v>
      </c>
      <c r="I20" s="80"/>
      <c r="J20" s="39">
        <f t="shared" si="2"/>
        <v>21600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1750.0</v>
      </c>
      <c r="I24" s="88"/>
      <c r="J24" s="39">
        <f t="shared" ref="J24:J27" si="3">D24*H24</f>
        <v>1750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3000.0</v>
      </c>
      <c r="I25" s="88"/>
      <c r="J25" s="39">
        <f t="shared" si="3"/>
        <v>3000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142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67">
        <f>SUM(J10:J11)</f>
        <v>23333.33333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70">
        <f>SUM(J14:J21)</f>
        <v>22862.03333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72">
        <f>SUM(J24:J27)</f>
        <v>7650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73">
        <f>SUM(C3:D5)</f>
        <v>53845.36667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121</v>
      </c>
      <c r="C10" s="75"/>
      <c r="D10" s="77">
        <f>1.1/3.3</f>
        <v>0.3333333333</v>
      </c>
      <c r="E10" s="75"/>
      <c r="F10" s="78" t="s">
        <v>145</v>
      </c>
      <c r="G10" s="75" t="s">
        <v>136</v>
      </c>
      <c r="H10" s="79">
        <v>70000.0</v>
      </c>
      <c r="I10" s="75"/>
      <c r="J10" s="39">
        <f t="shared" ref="J10:J11" si="1">D10*H10</f>
        <v>23333.33333</v>
      </c>
    </row>
    <row r="11">
      <c r="A11" s="75">
        <v>2.0</v>
      </c>
      <c r="B11" s="76"/>
      <c r="C11" s="75"/>
      <c r="D11" s="77"/>
      <c r="E11" s="75"/>
      <c r="F11" s="78"/>
      <c r="G11" s="75" t="s">
        <v>136</v>
      </c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126</v>
      </c>
      <c r="C20" s="75" t="s">
        <v>127</v>
      </c>
      <c r="D20" s="82">
        <v>1.2</v>
      </c>
      <c r="E20" s="75" t="s">
        <v>128</v>
      </c>
      <c r="F20" s="75" t="s">
        <v>146</v>
      </c>
      <c r="G20" s="75" t="s">
        <v>61</v>
      </c>
      <c r="H20" s="81">
        <v>18000.0</v>
      </c>
      <c r="I20" s="80"/>
      <c r="J20" s="39">
        <f t="shared" si="2"/>
        <v>21600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1750.0</v>
      </c>
      <c r="I24" s="88"/>
      <c r="J24" s="39">
        <f t="shared" ref="J24:J27" si="3">D24*H24</f>
        <v>1750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3000.0</v>
      </c>
      <c r="I25" s="88"/>
      <c r="J25" s="39">
        <f t="shared" si="3"/>
        <v>3000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144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20000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19683.23333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12650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52333.23333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122</v>
      </c>
      <c r="C10" s="75"/>
      <c r="D10" s="77">
        <f>1/3.3</f>
        <v>0.303030303</v>
      </c>
      <c r="E10" s="75"/>
      <c r="F10" s="78" t="s">
        <v>135</v>
      </c>
      <c r="G10" s="75" t="s">
        <v>125</v>
      </c>
      <c r="H10" s="79">
        <v>66000.0</v>
      </c>
      <c r="I10" s="75"/>
      <c r="J10" s="39">
        <f t="shared" ref="J10:J11" si="1">D10*H10</f>
        <v>20000</v>
      </c>
    </row>
    <row r="11">
      <c r="A11" s="75">
        <v>2.0</v>
      </c>
      <c r="B11" s="76"/>
      <c r="C11" s="75"/>
      <c r="D11" s="77"/>
      <c r="E11" s="75"/>
      <c r="F11" s="78"/>
      <c r="G11" s="75" t="s">
        <v>125</v>
      </c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v>0.1</v>
      </c>
      <c r="E20" s="75" t="s">
        <v>148</v>
      </c>
      <c r="F20" s="75" t="s">
        <v>149</v>
      </c>
      <c r="G20" s="75" t="s">
        <v>38</v>
      </c>
      <c r="H20" s="81">
        <v>4212.0</v>
      </c>
      <c r="I20" s="80"/>
      <c r="J20" s="95">
        <f t="shared" si="2"/>
        <v>421.2</v>
      </c>
    </row>
    <row r="21">
      <c r="A21" s="75">
        <v>8.0</v>
      </c>
      <c r="B21" s="76" t="s">
        <v>126</v>
      </c>
      <c r="C21" s="75"/>
      <c r="D21" s="83">
        <v>1.0</v>
      </c>
      <c r="E21" s="75"/>
      <c r="F21" s="75" t="s">
        <v>150</v>
      </c>
      <c r="G21" s="75" t="s">
        <v>151</v>
      </c>
      <c r="H21" s="81">
        <v>18000.0</v>
      </c>
      <c r="I21" s="80"/>
      <c r="J21" s="39">
        <f t="shared" si="2"/>
        <v>18000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2750.0</v>
      </c>
      <c r="I24" s="88"/>
      <c r="J24" s="39">
        <f t="shared" ref="J24:J27" si="3">D24*H24</f>
        <v>2750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6500.0</v>
      </c>
      <c r="I25" s="88"/>
      <c r="J25" s="39">
        <f t="shared" si="3"/>
        <v>6500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2500.0</v>
      </c>
      <c r="I26" s="88"/>
      <c r="J26" s="39">
        <f t="shared" si="3"/>
        <v>2500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143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19090.90909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19683.23333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12650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51424.14242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121</v>
      </c>
      <c r="C10" s="75"/>
      <c r="D10" s="77">
        <f>0.9/3.3</f>
        <v>0.2727272727</v>
      </c>
      <c r="E10" s="75"/>
      <c r="F10" s="78" t="s">
        <v>123</v>
      </c>
      <c r="G10" s="75" t="s">
        <v>136</v>
      </c>
      <c r="H10" s="79">
        <v>70000.0</v>
      </c>
      <c r="I10" s="75"/>
      <c r="J10" s="39">
        <f t="shared" ref="J10:J11" si="1">D10*H10</f>
        <v>19090.90909</v>
      </c>
    </row>
    <row r="11">
      <c r="A11" s="75">
        <v>2.0</v>
      </c>
      <c r="B11" s="76"/>
      <c r="C11" s="75"/>
      <c r="D11" s="77"/>
      <c r="E11" s="75"/>
      <c r="F11" s="78"/>
      <c r="G11" s="75" t="s">
        <v>136</v>
      </c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v>0.1</v>
      </c>
      <c r="E20" s="75" t="s">
        <v>148</v>
      </c>
      <c r="F20" s="75" t="s">
        <v>149</v>
      </c>
      <c r="G20" s="75" t="s">
        <v>38</v>
      </c>
      <c r="H20" s="81">
        <v>4212.0</v>
      </c>
      <c r="I20" s="80"/>
      <c r="J20" s="95">
        <f t="shared" si="2"/>
        <v>421.2</v>
      </c>
    </row>
    <row r="21">
      <c r="A21" s="75">
        <v>8.0</v>
      </c>
      <c r="B21" s="76" t="s">
        <v>126</v>
      </c>
      <c r="C21" s="75"/>
      <c r="D21" s="83">
        <v>1.0</v>
      </c>
      <c r="E21" s="75"/>
      <c r="F21" s="75" t="s">
        <v>150</v>
      </c>
      <c r="G21" s="75" t="s">
        <v>151</v>
      </c>
      <c r="H21" s="81">
        <v>18000.0</v>
      </c>
      <c r="I21" s="80"/>
      <c r="J21" s="39">
        <f t="shared" si="2"/>
        <v>18000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2750.0</v>
      </c>
      <c r="I24" s="88"/>
      <c r="J24" s="39">
        <f t="shared" ref="J24:J27" si="3">D24*H24</f>
        <v>2750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6500.0</v>
      </c>
      <c r="I25" s="88"/>
      <c r="J25" s="39">
        <f t="shared" si="3"/>
        <v>6500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2500.0</v>
      </c>
      <c r="I26" s="88"/>
      <c r="J26" s="39">
        <f t="shared" si="3"/>
        <v>2500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152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20000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23283.23333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12650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55933.23333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122</v>
      </c>
      <c r="C10" s="75"/>
      <c r="D10" s="77">
        <f>1/3.3</f>
        <v>0.303030303</v>
      </c>
      <c r="E10" s="75"/>
      <c r="F10" s="78" t="s">
        <v>135</v>
      </c>
      <c r="G10" s="75" t="s">
        <v>125</v>
      </c>
      <c r="H10" s="79">
        <v>66000.0</v>
      </c>
      <c r="I10" s="75"/>
      <c r="J10" s="39">
        <f t="shared" ref="J10:J11" si="1">D10*H10</f>
        <v>20000</v>
      </c>
    </row>
    <row r="11">
      <c r="A11" s="75">
        <v>2.0</v>
      </c>
      <c r="B11" s="76"/>
      <c r="C11" s="75"/>
      <c r="D11" s="77"/>
      <c r="E11" s="75"/>
      <c r="F11" s="78"/>
      <c r="G11" s="75" t="s">
        <v>125</v>
      </c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v>0.1</v>
      </c>
      <c r="E20" s="75" t="s">
        <v>148</v>
      </c>
      <c r="F20" s="75" t="s">
        <v>149</v>
      </c>
      <c r="G20" s="75" t="s">
        <v>38</v>
      </c>
      <c r="H20" s="81">
        <v>4212.0</v>
      </c>
      <c r="I20" s="80"/>
      <c r="J20" s="95">
        <f t="shared" si="2"/>
        <v>421.2</v>
      </c>
    </row>
    <row r="21">
      <c r="A21" s="75">
        <v>8.0</v>
      </c>
      <c r="B21" s="76" t="s">
        <v>126</v>
      </c>
      <c r="C21" s="75"/>
      <c r="D21" s="77">
        <v>1.2</v>
      </c>
      <c r="E21" s="75"/>
      <c r="F21" s="75" t="s">
        <v>150</v>
      </c>
      <c r="G21" s="75" t="s">
        <v>151</v>
      </c>
      <c r="H21" s="81">
        <v>18000.0</v>
      </c>
      <c r="I21" s="80"/>
      <c r="J21" s="39">
        <f t="shared" si="2"/>
        <v>21600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2750.0</v>
      </c>
      <c r="I24" s="88"/>
      <c r="J24" s="39">
        <f t="shared" ref="J24:J27" si="3">D24*H24</f>
        <v>2750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6500.0</v>
      </c>
      <c r="I25" s="88"/>
      <c r="J25" s="39">
        <f t="shared" si="3"/>
        <v>6500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2500.0</v>
      </c>
      <c r="I26" s="88"/>
      <c r="J26" s="39">
        <f t="shared" si="3"/>
        <v>2500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1.88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153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23333.33333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23283.23333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12650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59266.56667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121</v>
      </c>
      <c r="C10" s="75"/>
      <c r="D10" s="77">
        <f>1.1/3.3</f>
        <v>0.3333333333</v>
      </c>
      <c r="E10" s="75"/>
      <c r="F10" s="78" t="s">
        <v>145</v>
      </c>
      <c r="G10" s="75" t="s">
        <v>136</v>
      </c>
      <c r="H10" s="79">
        <v>70000.0</v>
      </c>
      <c r="I10" s="75"/>
      <c r="J10" s="39">
        <f t="shared" ref="J10:J11" si="1">D10*H10</f>
        <v>23333.33333</v>
      </c>
    </row>
    <row r="11">
      <c r="A11" s="75">
        <v>2.0</v>
      </c>
      <c r="B11" s="76"/>
      <c r="C11" s="75"/>
      <c r="D11" s="77"/>
      <c r="E11" s="75"/>
      <c r="F11" s="78"/>
      <c r="G11" s="75" t="s">
        <v>136</v>
      </c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v>0.1</v>
      </c>
      <c r="E20" s="75" t="s">
        <v>148</v>
      </c>
      <c r="F20" s="75" t="s">
        <v>149</v>
      </c>
      <c r="G20" s="75" t="s">
        <v>38</v>
      </c>
      <c r="H20" s="81">
        <v>4212.0</v>
      </c>
      <c r="I20" s="80"/>
      <c r="J20" s="95">
        <f t="shared" si="2"/>
        <v>421.2</v>
      </c>
    </row>
    <row r="21">
      <c r="A21" s="75">
        <v>8.0</v>
      </c>
      <c r="B21" s="76" t="s">
        <v>126</v>
      </c>
      <c r="C21" s="75"/>
      <c r="D21" s="77">
        <v>1.2</v>
      </c>
      <c r="E21" s="75"/>
      <c r="F21" s="75" t="s">
        <v>150</v>
      </c>
      <c r="G21" s="75" t="s">
        <v>151</v>
      </c>
      <c r="H21" s="81">
        <v>18000.0</v>
      </c>
      <c r="I21" s="80"/>
      <c r="J21" s="39">
        <f t="shared" si="2"/>
        <v>21600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2750.0</v>
      </c>
      <c r="I24" s="88"/>
      <c r="J24" s="39">
        <f t="shared" ref="J24:J27" si="3">D24*H24</f>
        <v>2750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6500.0</v>
      </c>
      <c r="I25" s="88"/>
      <c r="J25" s="39">
        <f t="shared" si="3"/>
        <v>6500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2500.0</v>
      </c>
      <c r="I26" s="88"/>
      <c r="J26" s="39">
        <f t="shared" si="3"/>
        <v>2500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96" t="s">
        <v>154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7">
        <f>SUM(J10:J11)</f>
        <v>34060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98">
        <f>SUM(J14:J21)</f>
        <v>11402.43333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99">
        <f>SUM(J24:J27)</f>
        <v>9400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00">
        <f>SUM(C3:D5)</f>
        <v>54862.43333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101" t="s">
        <v>155</v>
      </c>
      <c r="C10" s="19" t="s">
        <v>21</v>
      </c>
      <c r="D10" s="21">
        <f>1.1/5</f>
        <v>0.22</v>
      </c>
      <c r="E10" s="19" t="s">
        <v>23</v>
      </c>
      <c r="F10" s="55" t="s">
        <v>156</v>
      </c>
      <c r="G10" s="102" t="s">
        <v>157</v>
      </c>
      <c r="H10" s="103">
        <v>123000.0</v>
      </c>
      <c r="I10" s="20"/>
      <c r="J10" s="23">
        <f t="shared" ref="J10:J11" si="1">D10*H10</f>
        <v>27060</v>
      </c>
    </row>
    <row r="11">
      <c r="A11" s="19">
        <v>2.0</v>
      </c>
      <c r="B11" s="20" t="s">
        <v>158</v>
      </c>
      <c r="C11" s="19" t="s">
        <v>21</v>
      </c>
      <c r="D11" s="21">
        <v>1.0</v>
      </c>
      <c r="E11" s="19" t="s">
        <v>114</v>
      </c>
      <c r="F11" s="53"/>
      <c r="G11" s="19" t="s">
        <v>125</v>
      </c>
      <c r="H11" s="52">
        <v>7000.0</v>
      </c>
      <c r="I11" s="24"/>
      <c r="J11" s="23">
        <f t="shared" si="1"/>
        <v>7000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1/100</f>
        <v>0.01</v>
      </c>
      <c r="E14" s="19" t="s">
        <v>35</v>
      </c>
      <c r="F14" s="19" t="s">
        <v>37</v>
      </c>
      <c r="G14" s="19" t="s">
        <v>38</v>
      </c>
      <c r="H14" s="22">
        <v>25000.0</v>
      </c>
      <c r="I14" s="24"/>
      <c r="J14" s="23">
        <f t="shared" ref="J14:J21" si="2">D14*H14</f>
        <v>250</v>
      </c>
    </row>
    <row r="15">
      <c r="A15" s="19">
        <v>2.0</v>
      </c>
      <c r="B15" s="20" t="s">
        <v>39</v>
      </c>
      <c r="C15" s="19" t="s">
        <v>21</v>
      </c>
      <c r="D15" s="21">
        <f>4/120</f>
        <v>0.03333333333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433.3333333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147</v>
      </c>
      <c r="C20" s="19" t="s">
        <v>54</v>
      </c>
      <c r="D20" s="104">
        <f>1/30</f>
        <v>0.03333333333</v>
      </c>
      <c r="E20" s="19" t="s">
        <v>148</v>
      </c>
      <c r="F20" s="19" t="s">
        <v>160</v>
      </c>
      <c r="G20" s="19" t="s">
        <v>38</v>
      </c>
      <c r="H20" s="22">
        <v>4212.0</v>
      </c>
      <c r="I20" s="24"/>
      <c r="J20" s="105">
        <f t="shared" si="2"/>
        <v>140.4</v>
      </c>
    </row>
    <row r="21">
      <c r="A21" s="19">
        <v>8.0</v>
      </c>
      <c r="B21" s="20" t="s">
        <v>161</v>
      </c>
      <c r="C21" s="19" t="s">
        <v>162</v>
      </c>
      <c r="D21" s="28">
        <v>1.0</v>
      </c>
      <c r="E21" s="20"/>
      <c r="F21" s="20"/>
      <c r="G21" s="19" t="s">
        <v>163</v>
      </c>
      <c r="H21" s="22">
        <v>10000.0</v>
      </c>
      <c r="I21" s="24"/>
      <c r="J21" s="23">
        <f t="shared" si="2"/>
        <v>10000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31" t="s">
        <v>13</v>
      </c>
      <c r="E23" s="31" t="s">
        <v>14</v>
      </c>
      <c r="F23" s="31" t="s">
        <v>32</v>
      </c>
      <c r="G23" s="31" t="s">
        <v>16</v>
      </c>
      <c r="H23" s="31" t="s">
        <v>65</v>
      </c>
      <c r="I23" s="32"/>
      <c r="J23" s="31" t="s">
        <v>19</v>
      </c>
    </row>
    <row r="24">
      <c r="A24" s="19">
        <v>1.0</v>
      </c>
      <c r="B24" s="19" t="s">
        <v>66</v>
      </c>
      <c r="C24" s="33"/>
      <c r="D24" s="34">
        <v>1.0</v>
      </c>
      <c r="E24" s="19" t="s">
        <v>47</v>
      </c>
      <c r="F24" s="33"/>
      <c r="G24" s="19" t="s">
        <v>68</v>
      </c>
      <c r="H24" s="22">
        <v>1500.0</v>
      </c>
      <c r="I24" s="33"/>
      <c r="J24" s="23">
        <f t="shared" ref="J24:J27" si="3">D24*H24</f>
        <v>1500</v>
      </c>
    </row>
    <row r="25">
      <c r="A25" s="19">
        <v>2.0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5000.0</v>
      </c>
      <c r="I25" s="33"/>
      <c r="J25" s="23">
        <f t="shared" si="3"/>
        <v>5000</v>
      </c>
    </row>
    <row r="26">
      <c r="A26" s="19">
        <v>3.0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2000.0</v>
      </c>
      <c r="I26" s="33"/>
      <c r="J26" s="23">
        <f t="shared" si="3"/>
        <v>2000</v>
      </c>
    </row>
    <row r="27">
      <c r="A27" s="19">
        <v>4.0</v>
      </c>
      <c r="B27" s="19" t="s">
        <v>141</v>
      </c>
      <c r="C27" s="33"/>
      <c r="D27" s="34">
        <v>3.0</v>
      </c>
      <c r="E27" s="19" t="s">
        <v>47</v>
      </c>
      <c r="F27" s="35"/>
      <c r="G27" s="19" t="s">
        <v>68</v>
      </c>
      <c r="H27" s="22">
        <v>300.0</v>
      </c>
      <c r="I27" s="33"/>
      <c r="J27" s="23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159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23285.71429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21402.43333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9400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54088.14762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164</v>
      </c>
      <c r="C10" s="75" t="s">
        <v>21</v>
      </c>
      <c r="D10" s="77">
        <f>1/3.5</f>
        <v>0.2857142857</v>
      </c>
      <c r="E10" s="75" t="s">
        <v>23</v>
      </c>
      <c r="F10" s="78" t="s">
        <v>166</v>
      </c>
      <c r="G10" s="75" t="s">
        <v>112</v>
      </c>
      <c r="H10" s="79">
        <v>57000.0</v>
      </c>
      <c r="I10" s="75"/>
      <c r="J10" s="39">
        <f t="shared" ref="J10:J11" si="1">D10*H10</f>
        <v>16285.71429</v>
      </c>
    </row>
    <row r="11">
      <c r="A11" s="75">
        <v>2.0</v>
      </c>
      <c r="B11" s="76" t="s">
        <v>158</v>
      </c>
      <c r="C11" s="75" t="s">
        <v>21</v>
      </c>
      <c r="D11" s="77">
        <v>1.0</v>
      </c>
      <c r="E11" s="75" t="s">
        <v>114</v>
      </c>
      <c r="F11" s="78"/>
      <c r="G11" s="75" t="s">
        <v>125</v>
      </c>
      <c r="H11" s="79">
        <v>7000.0</v>
      </c>
      <c r="I11" s="80"/>
      <c r="J11" s="39">
        <f t="shared" si="1"/>
        <v>7000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1/30</f>
        <v>0.03333333333</v>
      </c>
      <c r="E20" s="75" t="s">
        <v>148</v>
      </c>
      <c r="F20" s="75" t="s">
        <v>160</v>
      </c>
      <c r="G20" s="75" t="s">
        <v>38</v>
      </c>
      <c r="H20" s="81">
        <v>4212.0</v>
      </c>
      <c r="I20" s="80"/>
      <c r="J20" s="95">
        <f t="shared" si="2"/>
        <v>140.4</v>
      </c>
    </row>
    <row r="21">
      <c r="A21" s="75">
        <v>8.0</v>
      </c>
      <c r="B21" s="76" t="s">
        <v>161</v>
      </c>
      <c r="C21" s="75" t="s">
        <v>162</v>
      </c>
      <c r="D21" s="83">
        <v>1.0</v>
      </c>
      <c r="E21" s="75"/>
      <c r="F21" s="75"/>
      <c r="G21" s="75" t="s">
        <v>163</v>
      </c>
      <c r="H21" s="81">
        <v>20000.0</v>
      </c>
      <c r="I21" s="80"/>
      <c r="J21" s="39">
        <f t="shared" si="2"/>
        <v>20000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1500.0</v>
      </c>
      <c r="I24" s="88"/>
      <c r="J24" s="39">
        <f t="shared" ref="J24:J27" si="3">D24*H24</f>
        <v>1500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5000.0</v>
      </c>
      <c r="I25" s="88"/>
      <c r="J25" s="39">
        <f t="shared" si="3"/>
        <v>5000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165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37750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11402.43333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9400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58552.43333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19">
        <v>1.0</v>
      </c>
      <c r="B10" s="101" t="s">
        <v>155</v>
      </c>
      <c r="C10" s="19" t="s">
        <v>21</v>
      </c>
      <c r="D10" s="77">
        <f>1/4</f>
        <v>0.25</v>
      </c>
      <c r="E10" s="75" t="s">
        <v>23</v>
      </c>
      <c r="F10" s="78" t="s">
        <v>168</v>
      </c>
      <c r="G10" s="102" t="s">
        <v>157</v>
      </c>
      <c r="H10" s="103">
        <v>123000.0</v>
      </c>
      <c r="I10" s="75"/>
      <c r="J10" s="39">
        <f t="shared" ref="J10:J11" si="1">D10*H10</f>
        <v>30750</v>
      </c>
    </row>
    <row r="11">
      <c r="A11" s="75">
        <v>2.0</v>
      </c>
      <c r="B11" s="76" t="s">
        <v>158</v>
      </c>
      <c r="C11" s="75" t="s">
        <v>21</v>
      </c>
      <c r="D11" s="77">
        <v>1.0</v>
      </c>
      <c r="E11" s="75" t="s">
        <v>114</v>
      </c>
      <c r="F11" s="78"/>
      <c r="G11" s="75" t="s">
        <v>125</v>
      </c>
      <c r="H11" s="79">
        <v>7000.0</v>
      </c>
      <c r="I11" s="80"/>
      <c r="J11" s="39">
        <f t="shared" si="1"/>
        <v>7000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1/30</f>
        <v>0.03333333333</v>
      </c>
      <c r="E20" s="75" t="s">
        <v>148</v>
      </c>
      <c r="F20" s="75" t="s">
        <v>160</v>
      </c>
      <c r="G20" s="75" t="s">
        <v>38</v>
      </c>
      <c r="H20" s="81">
        <v>4212.0</v>
      </c>
      <c r="I20" s="80"/>
      <c r="J20" s="95">
        <f t="shared" si="2"/>
        <v>140.4</v>
      </c>
    </row>
    <row r="21">
      <c r="A21" s="75">
        <v>8.0</v>
      </c>
      <c r="B21" s="76" t="s">
        <v>161</v>
      </c>
      <c r="C21" s="75" t="s">
        <v>162</v>
      </c>
      <c r="D21" s="83">
        <v>1.0</v>
      </c>
      <c r="E21" s="75"/>
      <c r="F21" s="75"/>
      <c r="G21" s="75" t="s">
        <v>163</v>
      </c>
      <c r="H21" s="81">
        <v>10000.0</v>
      </c>
      <c r="I21" s="80"/>
      <c r="J21" s="39">
        <f t="shared" si="2"/>
        <v>10000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1500.0</v>
      </c>
      <c r="I24" s="88"/>
      <c r="J24" s="39">
        <f t="shared" ref="J24:J27" si="3">D24*H24</f>
        <v>1500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5000.0</v>
      </c>
      <c r="I25" s="88"/>
      <c r="J25" s="39">
        <f t="shared" si="3"/>
        <v>5000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167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29450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1402.433333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9900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40752.43333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164</v>
      </c>
      <c r="C10" s="75" t="s">
        <v>21</v>
      </c>
      <c r="D10" s="77">
        <f>1.05/3</f>
        <v>0.35</v>
      </c>
      <c r="E10" s="75" t="s">
        <v>23</v>
      </c>
      <c r="F10" s="78" t="s">
        <v>169</v>
      </c>
      <c r="G10" s="75" t="s">
        <v>112</v>
      </c>
      <c r="H10" s="79">
        <v>57000.0</v>
      </c>
      <c r="I10" s="75"/>
      <c r="J10" s="39">
        <f t="shared" ref="J10:J11" si="1">D10*H10</f>
        <v>19950</v>
      </c>
    </row>
    <row r="11">
      <c r="A11" s="75">
        <v>2.0</v>
      </c>
      <c r="B11" s="76" t="s">
        <v>170</v>
      </c>
      <c r="C11" s="75" t="s">
        <v>21</v>
      </c>
      <c r="D11" s="77">
        <v>1.0</v>
      </c>
      <c r="E11" s="75" t="s">
        <v>114</v>
      </c>
      <c r="F11" s="78"/>
      <c r="G11" s="75" t="s">
        <v>171</v>
      </c>
      <c r="H11" s="79">
        <v>9500.0</v>
      </c>
      <c r="I11" s="80"/>
      <c r="J11" s="39">
        <f t="shared" si="1"/>
        <v>9500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1/30</f>
        <v>0.03333333333</v>
      </c>
      <c r="E20" s="75" t="s">
        <v>148</v>
      </c>
      <c r="F20" s="75" t="s">
        <v>160</v>
      </c>
      <c r="G20" s="75" t="s">
        <v>38</v>
      </c>
      <c r="H20" s="81">
        <v>4212.0</v>
      </c>
      <c r="I20" s="80"/>
      <c r="J20" s="95">
        <f t="shared" si="2"/>
        <v>140.4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2000.0</v>
      </c>
      <c r="I24" s="88"/>
      <c r="J24" s="39">
        <f t="shared" ref="J24:J27" si="3">D24*H24</f>
        <v>2000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5000.0</v>
      </c>
      <c r="I25" s="88"/>
      <c r="J25" s="39">
        <f t="shared" si="3"/>
        <v>5000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88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172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44642.85714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11402.43333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9900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65945.29048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176</v>
      </c>
      <c r="C10" s="75" t="s">
        <v>21</v>
      </c>
      <c r="D10" s="77">
        <f>1/3.5</f>
        <v>0.2857142857</v>
      </c>
      <c r="E10" s="75" t="s">
        <v>23</v>
      </c>
      <c r="F10" s="78" t="s">
        <v>177</v>
      </c>
      <c r="G10" s="75" t="s">
        <v>171</v>
      </c>
      <c r="H10" s="79">
        <v>123000.0</v>
      </c>
      <c r="I10" s="81">
        <v>118000.0</v>
      </c>
      <c r="J10" s="39">
        <f t="shared" ref="J10:J11" si="1">D10*H10</f>
        <v>35142.85714</v>
      </c>
    </row>
    <row r="11">
      <c r="A11" s="75">
        <v>2.0</v>
      </c>
      <c r="B11" s="76" t="s">
        <v>170</v>
      </c>
      <c r="C11" s="75" t="s">
        <v>21</v>
      </c>
      <c r="D11" s="77">
        <v>1.0</v>
      </c>
      <c r="E11" s="75" t="s">
        <v>114</v>
      </c>
      <c r="F11" s="78"/>
      <c r="G11" s="75" t="s">
        <v>171</v>
      </c>
      <c r="H11" s="79">
        <v>9500.0</v>
      </c>
      <c r="I11" s="80"/>
      <c r="J11" s="39">
        <f t="shared" si="1"/>
        <v>9500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1/30</f>
        <v>0.03333333333</v>
      </c>
      <c r="E20" s="75" t="s">
        <v>148</v>
      </c>
      <c r="F20" s="75" t="s">
        <v>160</v>
      </c>
      <c r="G20" s="75" t="s">
        <v>38</v>
      </c>
      <c r="H20" s="81">
        <v>4212.0</v>
      </c>
      <c r="I20" s="80"/>
      <c r="J20" s="95">
        <f t="shared" si="2"/>
        <v>140.4</v>
      </c>
    </row>
    <row r="21">
      <c r="A21" s="75">
        <v>8.0</v>
      </c>
      <c r="B21" s="76" t="s">
        <v>161</v>
      </c>
      <c r="C21" s="75"/>
      <c r="D21" s="83">
        <v>1.0</v>
      </c>
      <c r="E21" s="75" t="s">
        <v>47</v>
      </c>
      <c r="F21" s="75" t="s">
        <v>182</v>
      </c>
      <c r="G21" s="75"/>
      <c r="H21" s="81">
        <v>10000.0</v>
      </c>
      <c r="I21" s="80"/>
      <c r="J21" s="39">
        <f t="shared" si="2"/>
        <v>10000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2000.0</v>
      </c>
      <c r="I24" s="88"/>
      <c r="J24" s="39">
        <f t="shared" ref="J24:J27" si="3">D24*H24</f>
        <v>2000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5000.0</v>
      </c>
      <c r="I25" s="88"/>
      <c r="J25" s="39">
        <f t="shared" si="3"/>
        <v>5000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173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44642.85714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21402.43333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9400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75445.29048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176</v>
      </c>
      <c r="C10" s="75" t="s">
        <v>21</v>
      </c>
      <c r="D10" s="77">
        <f>1/3.5</f>
        <v>0.2857142857</v>
      </c>
      <c r="E10" s="75" t="s">
        <v>23</v>
      </c>
      <c r="F10" s="78" t="s">
        <v>177</v>
      </c>
      <c r="G10" s="75" t="s">
        <v>171</v>
      </c>
      <c r="H10" s="79">
        <v>123000.0</v>
      </c>
      <c r="I10" s="81">
        <v>118000.0</v>
      </c>
      <c r="J10" s="39">
        <f t="shared" ref="J10:J11" si="1">D10*H10</f>
        <v>35142.85714</v>
      </c>
    </row>
    <row r="11">
      <c r="A11" s="75">
        <v>2.0</v>
      </c>
      <c r="B11" s="76" t="s">
        <v>170</v>
      </c>
      <c r="C11" s="75" t="s">
        <v>21</v>
      </c>
      <c r="D11" s="77">
        <v>1.0</v>
      </c>
      <c r="E11" s="75" t="s">
        <v>114</v>
      </c>
      <c r="F11" s="78"/>
      <c r="G11" s="75" t="s">
        <v>171</v>
      </c>
      <c r="H11" s="79">
        <v>9500.0</v>
      </c>
      <c r="I11" s="80"/>
      <c r="J11" s="39">
        <f t="shared" si="1"/>
        <v>9500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1/30</f>
        <v>0.03333333333</v>
      </c>
      <c r="E20" s="75" t="s">
        <v>148</v>
      </c>
      <c r="F20" s="75" t="s">
        <v>160</v>
      </c>
      <c r="G20" s="75" t="s">
        <v>38</v>
      </c>
      <c r="H20" s="81">
        <v>4212.0</v>
      </c>
      <c r="I20" s="80"/>
      <c r="J20" s="95">
        <f t="shared" si="2"/>
        <v>140.4</v>
      </c>
    </row>
    <row r="21">
      <c r="A21" s="75">
        <v>8.0</v>
      </c>
      <c r="B21" s="76" t="s">
        <v>161</v>
      </c>
      <c r="C21" s="75" t="s">
        <v>162</v>
      </c>
      <c r="D21" s="83">
        <v>1.0</v>
      </c>
      <c r="E21" s="75"/>
      <c r="F21" s="75"/>
      <c r="G21" s="75" t="s">
        <v>163</v>
      </c>
      <c r="H21" s="81">
        <v>20000.0</v>
      </c>
      <c r="I21" s="80"/>
      <c r="J21" s="39">
        <f t="shared" si="2"/>
        <v>20000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1500.0</v>
      </c>
      <c r="I24" s="88"/>
      <c r="J24" s="39">
        <f t="shared" ref="J24:J27" si="3">D24*H24</f>
        <v>1500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5000.0</v>
      </c>
      <c r="I25" s="88"/>
      <c r="J25" s="39">
        <f t="shared" si="3"/>
        <v>5000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88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174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43050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11402.43333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10400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64852.43333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176</v>
      </c>
      <c r="C10" s="75" t="s">
        <v>21</v>
      </c>
      <c r="D10" s="77">
        <f>1.05/3</f>
        <v>0.35</v>
      </c>
      <c r="E10" s="75" t="s">
        <v>23</v>
      </c>
      <c r="F10" s="78" t="s">
        <v>169</v>
      </c>
      <c r="G10" s="75" t="s">
        <v>171</v>
      </c>
      <c r="H10" s="79">
        <v>123000.0</v>
      </c>
      <c r="I10" s="81">
        <v>118000.0</v>
      </c>
      <c r="J10" s="39">
        <f t="shared" ref="J10:J11" si="1">D10*H10</f>
        <v>43050</v>
      </c>
    </row>
    <row r="11">
      <c r="A11" s="75">
        <v>2.0</v>
      </c>
      <c r="B11" s="76" t="s">
        <v>170</v>
      </c>
      <c r="C11" s="75" t="s">
        <v>21</v>
      </c>
      <c r="D11" s="77"/>
      <c r="E11" s="75" t="s">
        <v>23</v>
      </c>
      <c r="F11" s="78"/>
      <c r="G11" s="75" t="s">
        <v>171</v>
      </c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1/30</f>
        <v>0.03333333333</v>
      </c>
      <c r="E20" s="75" t="s">
        <v>148</v>
      </c>
      <c r="F20" s="75" t="s">
        <v>160</v>
      </c>
      <c r="G20" s="75" t="s">
        <v>38</v>
      </c>
      <c r="H20" s="81">
        <v>4212.0</v>
      </c>
      <c r="I20" s="80"/>
      <c r="J20" s="95">
        <f t="shared" si="2"/>
        <v>140.4</v>
      </c>
    </row>
    <row r="21">
      <c r="A21" s="106" t="s">
        <v>178</v>
      </c>
      <c r="B21" s="76" t="s">
        <v>161</v>
      </c>
      <c r="C21" s="75" t="s">
        <v>162</v>
      </c>
      <c r="D21" s="83">
        <v>1.0</v>
      </c>
      <c r="E21" s="75"/>
      <c r="F21" s="75"/>
      <c r="G21" s="75" t="s">
        <v>163</v>
      </c>
      <c r="H21" s="81">
        <v>10000.0</v>
      </c>
      <c r="I21" s="80"/>
      <c r="J21" s="39">
        <f t="shared" si="2"/>
        <v>10000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1500.0</v>
      </c>
      <c r="I24" s="88"/>
      <c r="J24" s="39">
        <f t="shared" ref="J24:J27" si="3">D24*H24</f>
        <v>1500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6000.0</v>
      </c>
      <c r="I25" s="88"/>
      <c r="J25" s="39">
        <f t="shared" si="3"/>
        <v>6000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175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52550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21402.43333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10400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84352.43333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176</v>
      </c>
      <c r="C10" s="75" t="s">
        <v>21</v>
      </c>
      <c r="D10" s="77">
        <f>1.05/3</f>
        <v>0.35</v>
      </c>
      <c r="E10" s="75" t="s">
        <v>23</v>
      </c>
      <c r="F10" s="78" t="s">
        <v>169</v>
      </c>
      <c r="G10" s="75" t="s">
        <v>171</v>
      </c>
      <c r="H10" s="79">
        <v>123000.0</v>
      </c>
      <c r="I10" s="81">
        <v>118000.0</v>
      </c>
      <c r="J10" s="39">
        <f t="shared" ref="J10:J11" si="1">D10*H10</f>
        <v>43050</v>
      </c>
    </row>
    <row r="11">
      <c r="A11" s="75">
        <v>2.0</v>
      </c>
      <c r="B11" s="76" t="s">
        <v>170</v>
      </c>
      <c r="C11" s="75" t="s">
        <v>21</v>
      </c>
      <c r="D11" s="77">
        <v>1.0</v>
      </c>
      <c r="E11" s="75" t="s">
        <v>114</v>
      </c>
      <c r="F11" s="78"/>
      <c r="G11" s="75" t="s">
        <v>171</v>
      </c>
      <c r="H11" s="79">
        <v>9500.0</v>
      </c>
      <c r="I11" s="80"/>
      <c r="J11" s="39">
        <f t="shared" si="1"/>
        <v>9500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1/30</f>
        <v>0.03333333333</v>
      </c>
      <c r="E20" s="75" t="s">
        <v>148</v>
      </c>
      <c r="F20" s="75" t="s">
        <v>160</v>
      </c>
      <c r="G20" s="75" t="s">
        <v>38</v>
      </c>
      <c r="H20" s="81">
        <v>4212.0</v>
      </c>
      <c r="I20" s="80"/>
      <c r="J20" s="95">
        <f t="shared" si="2"/>
        <v>140.4</v>
      </c>
    </row>
    <row r="21">
      <c r="A21" s="75">
        <v>8.0</v>
      </c>
      <c r="B21" s="76" t="s">
        <v>161</v>
      </c>
      <c r="C21" s="75" t="s">
        <v>162</v>
      </c>
      <c r="D21" s="83">
        <v>1.0</v>
      </c>
      <c r="E21" s="75"/>
      <c r="F21" s="75"/>
      <c r="G21" s="75" t="s">
        <v>163</v>
      </c>
      <c r="H21" s="81">
        <v>20000.0</v>
      </c>
      <c r="I21" s="80"/>
      <c r="J21" s="39">
        <f t="shared" si="2"/>
        <v>20000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1500.0</v>
      </c>
      <c r="I24" s="88"/>
      <c r="J24" s="39">
        <f t="shared" ref="J24:J27" si="3">D24*H24</f>
        <v>1500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6000.0</v>
      </c>
      <c r="I25" s="88"/>
      <c r="J25" s="39">
        <f t="shared" si="3"/>
        <v>6000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88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179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36142.85714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11402.43333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10900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58445.29048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183</v>
      </c>
      <c r="C10" s="75" t="s">
        <v>21</v>
      </c>
      <c r="D10" s="77">
        <f>1/3.5</f>
        <v>0.2857142857</v>
      </c>
      <c r="E10" s="75" t="s">
        <v>23</v>
      </c>
      <c r="F10" s="78" t="s">
        <v>177</v>
      </c>
      <c r="G10" s="75" t="s">
        <v>112</v>
      </c>
      <c r="H10" s="79">
        <v>102000.0</v>
      </c>
      <c r="I10" s="81">
        <v>92000.0</v>
      </c>
      <c r="J10" s="39">
        <f t="shared" ref="J10:J11" si="1">D10*H10</f>
        <v>29142.85714</v>
      </c>
    </row>
    <row r="11">
      <c r="A11" s="75">
        <v>2.0</v>
      </c>
      <c r="B11" s="76" t="s">
        <v>184</v>
      </c>
      <c r="C11" s="75" t="s">
        <v>21</v>
      </c>
      <c r="D11" s="77">
        <v>1.0</v>
      </c>
      <c r="E11" s="75" t="s">
        <v>114</v>
      </c>
      <c r="F11" s="78"/>
      <c r="G11" s="75" t="s">
        <v>112</v>
      </c>
      <c r="H11" s="79">
        <v>7000.0</v>
      </c>
      <c r="I11" s="80"/>
      <c r="J11" s="39">
        <f t="shared" si="1"/>
        <v>7000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1/30</f>
        <v>0.03333333333</v>
      </c>
      <c r="E20" s="75" t="s">
        <v>148</v>
      </c>
      <c r="F20" s="75" t="s">
        <v>160</v>
      </c>
      <c r="G20" s="75" t="s">
        <v>38</v>
      </c>
      <c r="H20" s="81">
        <v>4212.0</v>
      </c>
      <c r="I20" s="80"/>
      <c r="J20" s="95">
        <f t="shared" si="2"/>
        <v>140.4</v>
      </c>
    </row>
    <row r="21">
      <c r="A21" s="75">
        <v>8.0</v>
      </c>
      <c r="B21" s="76" t="s">
        <v>161</v>
      </c>
      <c r="C21" s="75"/>
      <c r="D21" s="83">
        <v>1.0</v>
      </c>
      <c r="E21" s="75" t="s">
        <v>47</v>
      </c>
      <c r="F21" s="75" t="s">
        <v>182</v>
      </c>
      <c r="G21" s="75" t="s">
        <v>187</v>
      </c>
      <c r="H21" s="81">
        <v>10000.0</v>
      </c>
      <c r="I21" s="80"/>
      <c r="J21" s="39">
        <f t="shared" si="2"/>
        <v>10000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2000.0</v>
      </c>
      <c r="I24" s="88"/>
      <c r="J24" s="39">
        <f t="shared" ref="J24:J27" si="3">D24*H24</f>
        <v>2000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6000.0</v>
      </c>
      <c r="I25" s="88"/>
      <c r="J25" s="39">
        <f t="shared" si="3"/>
        <v>6000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180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36142.85714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21402.43333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10400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67945.29048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183</v>
      </c>
      <c r="C10" s="75" t="s">
        <v>21</v>
      </c>
      <c r="D10" s="77">
        <f>1/3.5</f>
        <v>0.2857142857</v>
      </c>
      <c r="E10" s="75" t="s">
        <v>23</v>
      </c>
      <c r="F10" s="78" t="s">
        <v>177</v>
      </c>
      <c r="G10" s="75" t="s">
        <v>112</v>
      </c>
      <c r="H10" s="79">
        <v>102000.0</v>
      </c>
      <c r="I10" s="81">
        <v>92000.0</v>
      </c>
      <c r="J10" s="39">
        <f t="shared" ref="J10:J11" si="1">D10*H10</f>
        <v>29142.85714</v>
      </c>
    </row>
    <row r="11">
      <c r="A11" s="75">
        <v>2.0</v>
      </c>
      <c r="B11" s="76" t="s">
        <v>184</v>
      </c>
      <c r="C11" s="75" t="s">
        <v>21</v>
      </c>
      <c r="D11" s="77">
        <v>1.0</v>
      </c>
      <c r="E11" s="75" t="s">
        <v>114</v>
      </c>
      <c r="F11" s="78"/>
      <c r="G11" s="75" t="s">
        <v>112</v>
      </c>
      <c r="H11" s="79">
        <v>7000.0</v>
      </c>
      <c r="I11" s="80"/>
      <c r="J11" s="39">
        <f t="shared" si="1"/>
        <v>7000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1/30</f>
        <v>0.03333333333</v>
      </c>
      <c r="E20" s="75" t="s">
        <v>148</v>
      </c>
      <c r="F20" s="75" t="s">
        <v>160</v>
      </c>
      <c r="G20" s="75" t="s">
        <v>38</v>
      </c>
      <c r="H20" s="81">
        <v>4212.0</v>
      </c>
      <c r="I20" s="80"/>
      <c r="J20" s="95">
        <f t="shared" si="2"/>
        <v>140.4</v>
      </c>
    </row>
    <row r="21">
      <c r="A21" s="75">
        <v>8.0</v>
      </c>
      <c r="B21" s="76" t="s">
        <v>161</v>
      </c>
      <c r="C21" s="75" t="s">
        <v>162</v>
      </c>
      <c r="D21" s="83">
        <v>1.0</v>
      </c>
      <c r="E21" s="75"/>
      <c r="F21" s="75"/>
      <c r="G21" s="75" t="s">
        <v>163</v>
      </c>
      <c r="H21" s="81">
        <v>20000.0</v>
      </c>
      <c r="I21" s="80"/>
      <c r="J21" s="39">
        <f t="shared" si="2"/>
        <v>20000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1500.0</v>
      </c>
      <c r="I24" s="88"/>
      <c r="J24" s="39">
        <f t="shared" ref="J24:J27" si="3">D24*H24</f>
        <v>1500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6000.0</v>
      </c>
      <c r="I25" s="88"/>
      <c r="J25" s="39">
        <f t="shared" si="3"/>
        <v>6000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88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181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41000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11402.43333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10900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63302.43333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183</v>
      </c>
      <c r="C10" s="75" t="s">
        <v>21</v>
      </c>
      <c r="D10" s="77">
        <f>1/3</f>
        <v>0.3333333333</v>
      </c>
      <c r="E10" s="75" t="s">
        <v>23</v>
      </c>
      <c r="F10" s="78" t="s">
        <v>185</v>
      </c>
      <c r="G10" s="75" t="s">
        <v>112</v>
      </c>
      <c r="H10" s="79">
        <v>102000.0</v>
      </c>
      <c r="I10" s="81">
        <v>92000.0</v>
      </c>
      <c r="J10" s="39">
        <f t="shared" ref="J10:J11" si="1">D10*H10</f>
        <v>34000</v>
      </c>
    </row>
    <row r="11">
      <c r="A11" s="75">
        <v>2.0</v>
      </c>
      <c r="B11" s="76" t="s">
        <v>184</v>
      </c>
      <c r="C11" s="75" t="s">
        <v>21</v>
      </c>
      <c r="D11" s="77">
        <v>1.0</v>
      </c>
      <c r="E11" s="75" t="s">
        <v>114</v>
      </c>
      <c r="F11" s="78"/>
      <c r="G11" s="75" t="s">
        <v>112</v>
      </c>
      <c r="H11" s="79">
        <v>7000.0</v>
      </c>
      <c r="I11" s="80"/>
      <c r="J11" s="39">
        <f t="shared" si="1"/>
        <v>7000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1/30</f>
        <v>0.03333333333</v>
      </c>
      <c r="E20" s="75" t="s">
        <v>148</v>
      </c>
      <c r="F20" s="75" t="s">
        <v>160</v>
      </c>
      <c r="G20" s="75" t="s">
        <v>38</v>
      </c>
      <c r="H20" s="81">
        <v>4212.0</v>
      </c>
      <c r="I20" s="80"/>
      <c r="J20" s="95">
        <f t="shared" si="2"/>
        <v>140.4</v>
      </c>
    </row>
    <row r="21">
      <c r="A21" s="106" t="s">
        <v>178</v>
      </c>
      <c r="B21" s="76" t="s">
        <v>161</v>
      </c>
      <c r="C21" s="75" t="s">
        <v>162</v>
      </c>
      <c r="D21" s="83">
        <v>1.0</v>
      </c>
      <c r="E21" s="75"/>
      <c r="F21" s="75"/>
      <c r="G21" s="75" t="s">
        <v>163</v>
      </c>
      <c r="H21" s="81">
        <v>10000.0</v>
      </c>
      <c r="I21" s="80"/>
      <c r="J21" s="39">
        <f t="shared" si="2"/>
        <v>10000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1500.0</v>
      </c>
      <c r="I24" s="88"/>
      <c r="J24" s="39">
        <f t="shared" ref="J24:J27" si="3">D24*H24</f>
        <v>1500</v>
      </c>
    </row>
    <row r="25">
      <c r="A25" s="75">
        <v>2.0</v>
      </c>
      <c r="B25" s="75" t="s">
        <v>71</v>
      </c>
      <c r="C25" s="86"/>
      <c r="D25" s="87">
        <v>1.0</v>
      </c>
      <c r="E25" s="75" t="s">
        <v>47</v>
      </c>
      <c r="F25" s="86"/>
      <c r="G25" s="75" t="s">
        <v>68</v>
      </c>
      <c r="H25" s="81">
        <v>6500.0</v>
      </c>
      <c r="I25" s="88"/>
      <c r="J25" s="39">
        <f t="shared" si="3"/>
        <v>6500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88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186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41000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21402.43333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10400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72802.43333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183</v>
      </c>
      <c r="C10" s="75" t="s">
        <v>21</v>
      </c>
      <c r="D10" s="77">
        <f>1/3</f>
        <v>0.3333333333</v>
      </c>
      <c r="E10" s="75" t="s">
        <v>23</v>
      </c>
      <c r="F10" s="78" t="s">
        <v>185</v>
      </c>
      <c r="G10" s="75" t="s">
        <v>112</v>
      </c>
      <c r="H10" s="79">
        <v>102000.0</v>
      </c>
      <c r="I10" s="81">
        <v>92000.0</v>
      </c>
      <c r="J10" s="39">
        <f t="shared" ref="J10:J11" si="1">D10*H10</f>
        <v>34000</v>
      </c>
    </row>
    <row r="11">
      <c r="A11" s="75">
        <v>2.0</v>
      </c>
      <c r="B11" s="76" t="s">
        <v>184</v>
      </c>
      <c r="C11" s="75" t="s">
        <v>21</v>
      </c>
      <c r="D11" s="77">
        <v>1.0</v>
      </c>
      <c r="E11" s="75" t="s">
        <v>114</v>
      </c>
      <c r="F11" s="78"/>
      <c r="G11" s="75" t="s">
        <v>112</v>
      </c>
      <c r="H11" s="79">
        <v>7000.0</v>
      </c>
      <c r="I11" s="80"/>
      <c r="J11" s="39">
        <f t="shared" si="1"/>
        <v>7000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41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44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1/30</f>
        <v>0.03333333333</v>
      </c>
      <c r="E20" s="75" t="s">
        <v>148</v>
      </c>
      <c r="F20" s="75" t="s">
        <v>160</v>
      </c>
      <c r="G20" s="75" t="s">
        <v>38</v>
      </c>
      <c r="H20" s="81">
        <v>4212.0</v>
      </c>
      <c r="I20" s="80"/>
      <c r="J20" s="95">
        <f t="shared" si="2"/>
        <v>140.4</v>
      </c>
    </row>
    <row r="21">
      <c r="A21" s="75">
        <v>8.0</v>
      </c>
      <c r="B21" s="76" t="s">
        <v>161</v>
      </c>
      <c r="C21" s="75" t="s">
        <v>162</v>
      </c>
      <c r="D21" s="83">
        <v>1.0</v>
      </c>
      <c r="E21" s="75"/>
      <c r="F21" s="75"/>
      <c r="G21" s="75" t="s">
        <v>163</v>
      </c>
      <c r="H21" s="81">
        <v>20000.0</v>
      </c>
      <c r="I21" s="80"/>
      <c r="J21" s="39">
        <f t="shared" si="2"/>
        <v>20000</v>
      </c>
    </row>
    <row r="22">
      <c r="A22" s="42" t="s">
        <v>63</v>
      </c>
      <c r="J22" s="42"/>
    </row>
    <row r="23">
      <c r="A23" s="43" t="s">
        <v>10</v>
      </c>
      <c r="B23" s="43" t="s">
        <v>64</v>
      </c>
      <c r="C23" s="84"/>
      <c r="D23" s="43" t="s">
        <v>13</v>
      </c>
      <c r="E23" s="43" t="s">
        <v>14</v>
      </c>
      <c r="F23" s="43" t="s">
        <v>32</v>
      </c>
      <c r="G23" s="43" t="s">
        <v>16</v>
      </c>
      <c r="H23" s="43" t="s">
        <v>65</v>
      </c>
      <c r="I23" s="85"/>
      <c r="J23" s="43" t="s">
        <v>19</v>
      </c>
    </row>
    <row r="24">
      <c r="A24" s="75">
        <v>1.0</v>
      </c>
      <c r="B24" s="75" t="s">
        <v>66</v>
      </c>
      <c r="C24" s="86"/>
      <c r="D24" s="87">
        <v>1.0</v>
      </c>
      <c r="E24" s="75" t="s">
        <v>47</v>
      </c>
      <c r="F24" s="86"/>
      <c r="G24" s="75" t="s">
        <v>68</v>
      </c>
      <c r="H24" s="81">
        <v>1500.0</v>
      </c>
      <c r="I24" s="88"/>
      <c r="J24" s="39">
        <f t="shared" ref="J24:J27" si="3">D24*H24</f>
        <v>1500</v>
      </c>
    </row>
    <row r="25">
      <c r="A25" s="75">
        <v>2.0</v>
      </c>
      <c r="B25" s="75" t="s">
        <v>194</v>
      </c>
      <c r="C25" s="86"/>
      <c r="D25" s="87">
        <v>1.0</v>
      </c>
      <c r="E25" s="75" t="s">
        <v>47</v>
      </c>
      <c r="F25" s="86"/>
      <c r="G25" s="75" t="s">
        <v>68</v>
      </c>
      <c r="H25" s="81">
        <v>6000.0</v>
      </c>
      <c r="I25" s="88"/>
      <c r="J25" s="39">
        <f t="shared" si="3"/>
        <v>6000</v>
      </c>
    </row>
    <row r="26">
      <c r="A26" s="75">
        <v>3.0</v>
      </c>
      <c r="B26" s="75" t="s">
        <v>72</v>
      </c>
      <c r="C26" s="86"/>
      <c r="D26" s="87">
        <v>1.0</v>
      </c>
      <c r="E26" s="75" t="s">
        <v>47</v>
      </c>
      <c r="F26" s="89"/>
      <c r="G26" s="75" t="s">
        <v>68</v>
      </c>
      <c r="H26" s="81">
        <v>2000.0</v>
      </c>
      <c r="I26" s="88"/>
      <c r="J26" s="39">
        <f t="shared" si="3"/>
        <v>2000</v>
      </c>
    </row>
    <row r="27">
      <c r="A27" s="75">
        <v>4.0</v>
      </c>
      <c r="B27" s="75" t="s">
        <v>141</v>
      </c>
      <c r="C27" s="86"/>
      <c r="D27" s="87">
        <v>3.0</v>
      </c>
      <c r="E27" s="75" t="s">
        <v>47</v>
      </c>
      <c r="F27" s="89"/>
      <c r="G27" s="75" t="s">
        <v>68</v>
      </c>
      <c r="H27" s="81">
        <v>300.0</v>
      </c>
      <c r="I27" s="88"/>
      <c r="J27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7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188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45500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13382.3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SUM(J25:J28)</f>
        <v>23600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82482.3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191</v>
      </c>
      <c r="C10" s="75" t="s">
        <v>21</v>
      </c>
      <c r="D10" s="77">
        <v>1.3</v>
      </c>
      <c r="E10" s="75" t="s">
        <v>23</v>
      </c>
      <c r="F10" s="78" t="s">
        <v>192</v>
      </c>
      <c r="G10" s="75" t="s">
        <v>193</v>
      </c>
      <c r="H10" s="79">
        <v>35000.0</v>
      </c>
      <c r="I10" s="81">
        <v>30000.0</v>
      </c>
      <c r="J10" s="39">
        <f t="shared" ref="J10:J11" si="1">D10*H10</f>
        <v>45500</v>
      </c>
    </row>
    <row r="11">
      <c r="A11" s="75">
        <v>2.0</v>
      </c>
      <c r="B11" s="76" t="s">
        <v>195</v>
      </c>
      <c r="C11" s="75"/>
      <c r="D11" s="77"/>
      <c r="E11" s="75"/>
      <c r="F11" s="78"/>
      <c r="G11" s="75"/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1/50</f>
        <v>0.02</v>
      </c>
      <c r="E14" s="75" t="s">
        <v>35</v>
      </c>
      <c r="F14" s="75" t="s">
        <v>196</v>
      </c>
      <c r="G14" s="75" t="s">
        <v>38</v>
      </c>
      <c r="H14" s="81">
        <v>25000.0</v>
      </c>
      <c r="I14" s="80"/>
      <c r="J14" s="39">
        <f t="shared" ref="J14:J22" si="2">D14*H14</f>
        <v>500</v>
      </c>
    </row>
    <row r="15">
      <c r="A15" s="75">
        <v>2.0</v>
      </c>
      <c r="B15" s="76" t="s">
        <v>39</v>
      </c>
      <c r="C15" s="75" t="s">
        <v>21</v>
      </c>
      <c r="D15" s="77">
        <f>4/50</f>
        <v>0.08</v>
      </c>
      <c r="E15" s="75" t="s">
        <v>40</v>
      </c>
      <c r="F15" s="75" t="s">
        <v>197</v>
      </c>
      <c r="G15" s="75" t="s">
        <v>38</v>
      </c>
      <c r="H15" s="81">
        <v>13000.0</v>
      </c>
      <c r="I15" s="80"/>
      <c r="J15" s="39">
        <f t="shared" si="2"/>
        <v>1040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1.5/5</f>
        <v>0.3</v>
      </c>
      <c r="E20" s="75" t="s">
        <v>148</v>
      </c>
      <c r="F20" s="75" t="s">
        <v>199</v>
      </c>
      <c r="G20" s="75" t="s">
        <v>38</v>
      </c>
      <c r="H20" s="81">
        <v>4212.0</v>
      </c>
      <c r="I20" s="80"/>
      <c r="J20" s="95">
        <f t="shared" si="2"/>
        <v>1263.6</v>
      </c>
    </row>
    <row r="21">
      <c r="A21" s="75">
        <v>8.0</v>
      </c>
      <c r="B21" s="76" t="s">
        <v>161</v>
      </c>
      <c r="C21" s="75" t="s">
        <v>162</v>
      </c>
      <c r="D21" s="83">
        <v>1.0</v>
      </c>
      <c r="E21" s="75" t="s">
        <v>47</v>
      </c>
      <c r="F21" s="75"/>
      <c r="G21" s="75" t="s">
        <v>163</v>
      </c>
      <c r="H21" s="81">
        <v>10000.0</v>
      </c>
      <c r="I21" s="80"/>
      <c r="J21" s="39">
        <f t="shared" si="2"/>
        <v>10000</v>
      </c>
    </row>
    <row r="22">
      <c r="A22" s="75">
        <v>9.0</v>
      </c>
      <c r="B22" s="76" t="s">
        <v>200</v>
      </c>
      <c r="C22" s="75" t="s">
        <v>201</v>
      </c>
      <c r="D22" s="107">
        <f>(1/144)*7</f>
        <v>0.04861111111</v>
      </c>
      <c r="E22" s="75" t="s">
        <v>47</v>
      </c>
      <c r="F22" s="75" t="s">
        <v>202</v>
      </c>
      <c r="G22" s="75">
        <v>1001.0</v>
      </c>
      <c r="H22" s="81">
        <v>6000.0</v>
      </c>
      <c r="I22" s="75">
        <v>6000.0</v>
      </c>
      <c r="J22" s="39">
        <f t="shared" si="2"/>
        <v>291.6666667</v>
      </c>
    </row>
    <row r="23">
      <c r="A23" s="42" t="s">
        <v>63</v>
      </c>
      <c r="J23" s="42"/>
    </row>
    <row r="24">
      <c r="A24" s="43" t="s">
        <v>10</v>
      </c>
      <c r="B24" s="43" t="s">
        <v>64</v>
      </c>
      <c r="C24" s="84"/>
      <c r="D24" s="43" t="s">
        <v>13</v>
      </c>
      <c r="E24" s="43" t="s">
        <v>14</v>
      </c>
      <c r="F24" s="43" t="s">
        <v>32</v>
      </c>
      <c r="G24" s="43" t="s">
        <v>16</v>
      </c>
      <c r="H24" s="43" t="s">
        <v>65</v>
      </c>
      <c r="I24" s="85"/>
      <c r="J24" s="43" t="s">
        <v>19</v>
      </c>
    </row>
    <row r="25">
      <c r="A25" s="75">
        <v>1.0</v>
      </c>
      <c r="B25" s="75" t="s">
        <v>203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3500.0</v>
      </c>
      <c r="I25" s="88"/>
      <c r="J25" s="39">
        <f t="shared" ref="J25:J28" si="3">D25*H25</f>
        <v>3500</v>
      </c>
    </row>
    <row r="26">
      <c r="A26" s="75">
        <v>2.0</v>
      </c>
      <c r="B26" s="75" t="s">
        <v>205</v>
      </c>
      <c r="C26" s="86"/>
      <c r="D26" s="87">
        <v>1.0</v>
      </c>
      <c r="E26" s="75" t="s">
        <v>47</v>
      </c>
      <c r="F26" s="86"/>
      <c r="G26" s="75" t="s">
        <v>68</v>
      </c>
      <c r="H26" s="81">
        <v>15000.0</v>
      </c>
      <c r="I26" s="88"/>
      <c r="J26" s="39">
        <f t="shared" si="3"/>
        <v>15000</v>
      </c>
    </row>
    <row r="27">
      <c r="A27" s="75">
        <v>3.0</v>
      </c>
      <c r="B27" s="75" t="s">
        <v>206</v>
      </c>
      <c r="C27" s="86"/>
      <c r="D27" s="87">
        <v>1.0</v>
      </c>
      <c r="E27" s="75" t="s">
        <v>47</v>
      </c>
      <c r="F27" s="89"/>
      <c r="G27" s="75" t="s">
        <v>68</v>
      </c>
      <c r="H27" s="81">
        <v>3000.0</v>
      </c>
      <c r="I27" s="88"/>
      <c r="J27" s="39">
        <f t="shared" si="3"/>
        <v>3000</v>
      </c>
    </row>
    <row r="28">
      <c r="A28" s="75">
        <v>4.0</v>
      </c>
      <c r="B28" s="75" t="s">
        <v>141</v>
      </c>
      <c r="C28" s="86"/>
      <c r="D28" s="87">
        <v>7.0</v>
      </c>
      <c r="E28" s="75" t="s">
        <v>47</v>
      </c>
      <c r="F28" s="89"/>
      <c r="G28" s="75" t="s">
        <v>68</v>
      </c>
      <c r="H28" s="81">
        <v>300.0</v>
      </c>
      <c r="I28" s="88"/>
      <c r="J28" s="39">
        <f t="shared" si="3"/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7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189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45500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23382.3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21500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90382.3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191</v>
      </c>
      <c r="C10" s="75" t="s">
        <v>21</v>
      </c>
      <c r="D10" s="77">
        <v>1.3</v>
      </c>
      <c r="E10" s="75" t="s">
        <v>23</v>
      </c>
      <c r="F10" s="78" t="s">
        <v>192</v>
      </c>
      <c r="G10" s="75" t="s">
        <v>193</v>
      </c>
      <c r="H10" s="79">
        <v>35000.0</v>
      </c>
      <c r="I10" s="81">
        <v>31500.0</v>
      </c>
      <c r="J10" s="39">
        <f t="shared" ref="J10:J11" si="1">D10*H10</f>
        <v>45500</v>
      </c>
    </row>
    <row r="11">
      <c r="A11" s="75">
        <v>2.0</v>
      </c>
      <c r="B11" s="76" t="s">
        <v>195</v>
      </c>
      <c r="C11" s="75"/>
      <c r="D11" s="77"/>
      <c r="E11" s="75"/>
      <c r="F11" s="78"/>
      <c r="G11" s="75"/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1/50</f>
        <v>0.02</v>
      </c>
      <c r="E14" s="75" t="s">
        <v>35</v>
      </c>
      <c r="F14" s="75" t="s">
        <v>196</v>
      </c>
      <c r="G14" s="75" t="s">
        <v>38</v>
      </c>
      <c r="H14" s="81">
        <v>25000.0</v>
      </c>
      <c r="I14" s="80"/>
      <c r="J14" s="39">
        <f t="shared" ref="J14:J22" si="2">D14*H14</f>
        <v>500</v>
      </c>
    </row>
    <row r="15">
      <c r="A15" s="75">
        <v>2.0</v>
      </c>
      <c r="B15" s="76" t="s">
        <v>39</v>
      </c>
      <c r="C15" s="75" t="s">
        <v>21</v>
      </c>
      <c r="D15" s="77">
        <f>4/50</f>
        <v>0.08</v>
      </c>
      <c r="E15" s="75" t="s">
        <v>40</v>
      </c>
      <c r="F15" s="75" t="s">
        <v>197</v>
      </c>
      <c r="G15" s="75" t="s">
        <v>38</v>
      </c>
      <c r="H15" s="81">
        <v>13000.0</v>
      </c>
      <c r="I15" s="80"/>
      <c r="J15" s="39">
        <f t="shared" si="2"/>
        <v>1040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1.5/5</f>
        <v>0.3</v>
      </c>
      <c r="E20" s="75" t="s">
        <v>148</v>
      </c>
      <c r="F20" s="75" t="s">
        <v>199</v>
      </c>
      <c r="G20" s="75" t="s">
        <v>38</v>
      </c>
      <c r="H20" s="81">
        <v>4212.0</v>
      </c>
      <c r="I20" s="80"/>
      <c r="J20" s="95">
        <f t="shared" si="2"/>
        <v>1263.6</v>
      </c>
    </row>
    <row r="21">
      <c r="A21" s="75">
        <v>8.0</v>
      </c>
      <c r="B21" s="76" t="s">
        <v>161</v>
      </c>
      <c r="C21" s="75" t="s">
        <v>162</v>
      </c>
      <c r="D21" s="83">
        <v>1.0</v>
      </c>
      <c r="E21" s="75" t="s">
        <v>47</v>
      </c>
      <c r="F21" s="75"/>
      <c r="G21" s="75" t="s">
        <v>163</v>
      </c>
      <c r="H21" s="81">
        <v>20000.0</v>
      </c>
      <c r="I21" s="80"/>
      <c r="J21" s="39">
        <f t="shared" si="2"/>
        <v>20000</v>
      </c>
    </row>
    <row r="22">
      <c r="A22" s="75">
        <v>9.0</v>
      </c>
      <c r="B22" s="76" t="s">
        <v>200</v>
      </c>
      <c r="C22" s="75" t="s">
        <v>201</v>
      </c>
      <c r="D22" s="107">
        <f>(1/144)*7</f>
        <v>0.04861111111</v>
      </c>
      <c r="E22" s="75" t="s">
        <v>47</v>
      </c>
      <c r="F22" s="75" t="s">
        <v>202</v>
      </c>
      <c r="G22" s="75">
        <v>1001.0</v>
      </c>
      <c r="H22" s="81">
        <v>6000.0</v>
      </c>
      <c r="I22" s="75">
        <v>6000.0</v>
      </c>
      <c r="J22" s="39">
        <f t="shared" si="2"/>
        <v>291.6666667</v>
      </c>
    </row>
    <row r="23">
      <c r="A23" s="42" t="s">
        <v>63</v>
      </c>
      <c r="J23" s="42"/>
    </row>
    <row r="24">
      <c r="A24" s="43" t="s">
        <v>10</v>
      </c>
      <c r="B24" s="43" t="s">
        <v>64</v>
      </c>
      <c r="C24" s="84"/>
      <c r="D24" s="43" t="s">
        <v>13</v>
      </c>
      <c r="E24" s="43" t="s">
        <v>14</v>
      </c>
      <c r="F24" s="43" t="s">
        <v>32</v>
      </c>
      <c r="G24" s="43" t="s">
        <v>16</v>
      </c>
      <c r="H24" s="43" t="s">
        <v>65</v>
      </c>
      <c r="I24" s="85"/>
      <c r="J24" s="43" t="s">
        <v>19</v>
      </c>
    </row>
    <row r="25">
      <c r="A25" s="75">
        <v>1.0</v>
      </c>
      <c r="B25" s="75" t="s">
        <v>203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3500.0</v>
      </c>
      <c r="I25" s="88"/>
      <c r="J25" s="39">
        <f t="shared" ref="J25:J28" si="3">D25*H25</f>
        <v>3500</v>
      </c>
    </row>
    <row r="26">
      <c r="A26" s="75">
        <v>2.0</v>
      </c>
      <c r="B26" s="75" t="s">
        <v>205</v>
      </c>
      <c r="C26" s="86"/>
      <c r="D26" s="87">
        <v>1.0</v>
      </c>
      <c r="E26" s="75" t="s">
        <v>47</v>
      </c>
      <c r="F26" s="86"/>
      <c r="G26" s="75" t="s">
        <v>68</v>
      </c>
      <c r="H26" s="81">
        <v>15000.0</v>
      </c>
      <c r="I26" s="88"/>
      <c r="J26" s="39">
        <f t="shared" si="3"/>
        <v>15000</v>
      </c>
    </row>
    <row r="27">
      <c r="A27" s="75">
        <v>3.0</v>
      </c>
      <c r="B27" s="75" t="s">
        <v>206</v>
      </c>
      <c r="C27" s="86"/>
      <c r="D27" s="87">
        <v>1.0</v>
      </c>
      <c r="E27" s="75" t="s">
        <v>47</v>
      </c>
      <c r="F27" s="89"/>
      <c r="G27" s="75" t="s">
        <v>68</v>
      </c>
      <c r="H27" s="81">
        <v>3000.0</v>
      </c>
      <c r="I27" s="88"/>
      <c r="J27" s="39">
        <f t="shared" si="3"/>
        <v>3000</v>
      </c>
    </row>
    <row r="28">
      <c r="A28" s="75">
        <v>4.0</v>
      </c>
      <c r="B28" s="75" t="s">
        <v>141</v>
      </c>
      <c r="C28" s="86"/>
      <c r="D28" s="87">
        <v>7.0</v>
      </c>
      <c r="E28" s="75" t="s">
        <v>47</v>
      </c>
      <c r="F28" s="89"/>
      <c r="G28" s="75" t="s">
        <v>68</v>
      </c>
      <c r="H28" s="81">
        <v>300.0</v>
      </c>
      <c r="I28" s="88"/>
      <c r="J28" s="39">
        <f t="shared" si="3"/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190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52000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13382.3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21500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86882.3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191</v>
      </c>
      <c r="C10" s="75" t="s">
        <v>21</v>
      </c>
      <c r="D10" s="77">
        <v>1.3</v>
      </c>
      <c r="E10" s="75" t="s">
        <v>128</v>
      </c>
      <c r="F10" s="78" t="s">
        <v>192</v>
      </c>
      <c r="G10" s="75" t="s">
        <v>193</v>
      </c>
      <c r="H10" s="79">
        <v>40000.0</v>
      </c>
      <c r="I10" s="81">
        <v>36000.0</v>
      </c>
      <c r="J10" s="39">
        <f t="shared" ref="J10:J11" si="1">D10*H10</f>
        <v>52000</v>
      </c>
    </row>
    <row r="11">
      <c r="A11" s="75">
        <v>2.0</v>
      </c>
      <c r="B11" s="76" t="s">
        <v>195</v>
      </c>
      <c r="C11" s="75"/>
      <c r="D11" s="77"/>
      <c r="E11" s="75"/>
      <c r="F11" s="78"/>
      <c r="G11" s="75"/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1/50</f>
        <v>0.02</v>
      </c>
      <c r="E14" s="75" t="s">
        <v>35</v>
      </c>
      <c r="F14" s="75" t="s">
        <v>196</v>
      </c>
      <c r="G14" s="75" t="s">
        <v>38</v>
      </c>
      <c r="H14" s="81">
        <v>25000.0</v>
      </c>
      <c r="I14" s="80"/>
      <c r="J14" s="39">
        <f t="shared" ref="J14:J22" si="2">D14*H14</f>
        <v>500</v>
      </c>
    </row>
    <row r="15">
      <c r="A15" s="75">
        <v>2.0</v>
      </c>
      <c r="B15" s="76" t="s">
        <v>39</v>
      </c>
      <c r="C15" s="75" t="s">
        <v>21</v>
      </c>
      <c r="D15" s="77">
        <f>4/50</f>
        <v>0.08</v>
      </c>
      <c r="E15" s="75" t="s">
        <v>40</v>
      </c>
      <c r="F15" s="75" t="s">
        <v>197</v>
      </c>
      <c r="G15" s="75" t="s">
        <v>38</v>
      </c>
      <c r="H15" s="81">
        <v>13000.0</v>
      </c>
      <c r="I15" s="80"/>
      <c r="J15" s="39">
        <f t="shared" si="2"/>
        <v>1040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1.5/5</f>
        <v>0.3</v>
      </c>
      <c r="E20" s="75" t="s">
        <v>148</v>
      </c>
      <c r="F20" s="75" t="s">
        <v>199</v>
      </c>
      <c r="G20" s="75" t="s">
        <v>38</v>
      </c>
      <c r="H20" s="81">
        <v>4212.0</v>
      </c>
      <c r="I20" s="80"/>
      <c r="J20" s="95">
        <f t="shared" si="2"/>
        <v>1263.6</v>
      </c>
    </row>
    <row r="21">
      <c r="A21" s="75">
        <v>8.0</v>
      </c>
      <c r="B21" s="76" t="s">
        <v>161</v>
      </c>
      <c r="C21" s="75" t="s">
        <v>162</v>
      </c>
      <c r="D21" s="83">
        <v>1.0</v>
      </c>
      <c r="E21" s="75" t="s">
        <v>47</v>
      </c>
      <c r="F21" s="75"/>
      <c r="G21" s="75" t="s">
        <v>163</v>
      </c>
      <c r="H21" s="81">
        <v>10000.0</v>
      </c>
      <c r="I21" s="80"/>
      <c r="J21" s="39">
        <f t="shared" si="2"/>
        <v>10000</v>
      </c>
    </row>
    <row r="22">
      <c r="A22" s="75">
        <v>9.0</v>
      </c>
      <c r="B22" s="76" t="s">
        <v>204</v>
      </c>
      <c r="C22" s="75" t="s">
        <v>201</v>
      </c>
      <c r="D22" s="107">
        <f>(1/144)*7</f>
        <v>0.04861111111</v>
      </c>
      <c r="E22" s="75" t="s">
        <v>47</v>
      </c>
      <c r="F22" s="75" t="s">
        <v>202</v>
      </c>
      <c r="G22" s="75">
        <v>1001.0</v>
      </c>
      <c r="H22" s="81">
        <v>10000.0</v>
      </c>
      <c r="I22" s="75">
        <v>6000.0</v>
      </c>
      <c r="J22" s="39">
        <f t="shared" si="2"/>
        <v>486.1111111</v>
      </c>
    </row>
    <row r="23">
      <c r="A23" s="42" t="s">
        <v>63</v>
      </c>
      <c r="J23" s="42"/>
    </row>
    <row r="24">
      <c r="A24" s="43" t="s">
        <v>10</v>
      </c>
      <c r="B24" s="43" t="s">
        <v>64</v>
      </c>
      <c r="C24" s="84"/>
      <c r="D24" s="43" t="s">
        <v>13</v>
      </c>
      <c r="E24" s="43" t="s">
        <v>14</v>
      </c>
      <c r="F24" s="43" t="s">
        <v>32</v>
      </c>
      <c r="G24" s="43" t="s">
        <v>16</v>
      </c>
      <c r="H24" s="43" t="s">
        <v>65</v>
      </c>
      <c r="I24" s="85"/>
      <c r="J24" s="43" t="s">
        <v>19</v>
      </c>
    </row>
    <row r="25">
      <c r="A25" s="75">
        <v>1.0</v>
      </c>
      <c r="B25" s="75" t="s">
        <v>203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3500.0</v>
      </c>
      <c r="I25" s="88"/>
      <c r="J25" s="39">
        <f t="shared" ref="J25:J28" si="3">D25*H25</f>
        <v>3500</v>
      </c>
    </row>
    <row r="26">
      <c r="A26" s="75">
        <v>2.0</v>
      </c>
      <c r="B26" s="75" t="s">
        <v>205</v>
      </c>
      <c r="C26" s="86"/>
      <c r="D26" s="87">
        <v>1.0</v>
      </c>
      <c r="E26" s="75" t="s">
        <v>47</v>
      </c>
      <c r="F26" s="86"/>
      <c r="G26" s="75" t="s">
        <v>68</v>
      </c>
      <c r="H26" s="81">
        <v>15000.0</v>
      </c>
      <c r="I26" s="88"/>
      <c r="J26" s="39">
        <f t="shared" si="3"/>
        <v>15000</v>
      </c>
    </row>
    <row r="27">
      <c r="A27" s="75">
        <v>3.0</v>
      </c>
      <c r="B27" s="75" t="s">
        <v>206</v>
      </c>
      <c r="C27" s="86"/>
      <c r="D27" s="87">
        <v>1.0</v>
      </c>
      <c r="E27" s="75" t="s">
        <v>47</v>
      </c>
      <c r="F27" s="89"/>
      <c r="G27" s="75" t="s">
        <v>68</v>
      </c>
      <c r="H27" s="81">
        <v>3000.0</v>
      </c>
      <c r="I27" s="88"/>
      <c r="J27" s="39">
        <f t="shared" si="3"/>
        <v>3000</v>
      </c>
    </row>
    <row r="28">
      <c r="A28" s="75">
        <v>4.0</v>
      </c>
      <c r="B28" s="75" t="s">
        <v>141</v>
      </c>
      <c r="C28" s="86"/>
      <c r="D28" s="87">
        <v>7.0</v>
      </c>
      <c r="E28" s="75" t="s">
        <v>47</v>
      </c>
      <c r="F28" s="89"/>
      <c r="G28" s="75" t="s">
        <v>68</v>
      </c>
      <c r="H28" s="81">
        <v>300.0</v>
      </c>
      <c r="I28" s="88"/>
      <c r="J28" s="39">
        <f t="shared" si="3"/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190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52000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23382.3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21500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96882.3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191</v>
      </c>
      <c r="C10" s="75" t="s">
        <v>21</v>
      </c>
      <c r="D10" s="77">
        <v>1.3</v>
      </c>
      <c r="E10" s="75" t="s">
        <v>128</v>
      </c>
      <c r="F10" s="78" t="s">
        <v>192</v>
      </c>
      <c r="G10" s="75" t="s">
        <v>193</v>
      </c>
      <c r="H10" s="79">
        <v>40000.0</v>
      </c>
      <c r="I10" s="81">
        <v>36000.0</v>
      </c>
      <c r="J10" s="39">
        <f t="shared" ref="J10:J11" si="1">D10*H10</f>
        <v>52000</v>
      </c>
    </row>
    <row r="11">
      <c r="A11" s="75">
        <v>2.0</v>
      </c>
      <c r="B11" s="76" t="s">
        <v>195</v>
      </c>
      <c r="C11" s="75"/>
      <c r="D11" s="77"/>
      <c r="E11" s="75"/>
      <c r="F11" s="78"/>
      <c r="G11" s="75"/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1/50</f>
        <v>0.02</v>
      </c>
      <c r="E14" s="75" t="s">
        <v>35</v>
      </c>
      <c r="F14" s="75" t="s">
        <v>196</v>
      </c>
      <c r="G14" s="75" t="s">
        <v>38</v>
      </c>
      <c r="H14" s="81">
        <v>25000.0</v>
      </c>
      <c r="I14" s="80"/>
      <c r="J14" s="39">
        <f t="shared" ref="J14:J22" si="2">D14*H14</f>
        <v>500</v>
      </c>
    </row>
    <row r="15">
      <c r="A15" s="75">
        <v>2.0</v>
      </c>
      <c r="B15" s="76" t="s">
        <v>39</v>
      </c>
      <c r="C15" s="75" t="s">
        <v>21</v>
      </c>
      <c r="D15" s="77">
        <f>4/50</f>
        <v>0.08</v>
      </c>
      <c r="E15" s="75" t="s">
        <v>40</v>
      </c>
      <c r="F15" s="75" t="s">
        <v>197</v>
      </c>
      <c r="G15" s="75" t="s">
        <v>38</v>
      </c>
      <c r="H15" s="81">
        <v>13000.0</v>
      </c>
      <c r="I15" s="80"/>
      <c r="J15" s="39">
        <f t="shared" si="2"/>
        <v>1040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1.5/5</f>
        <v>0.3</v>
      </c>
      <c r="E20" s="75" t="s">
        <v>148</v>
      </c>
      <c r="F20" s="75" t="s">
        <v>199</v>
      </c>
      <c r="G20" s="75" t="s">
        <v>38</v>
      </c>
      <c r="H20" s="81">
        <v>4212.0</v>
      </c>
      <c r="I20" s="80"/>
      <c r="J20" s="95">
        <f t="shared" si="2"/>
        <v>1263.6</v>
      </c>
    </row>
    <row r="21">
      <c r="A21" s="75">
        <v>8.0</v>
      </c>
      <c r="B21" s="76" t="s">
        <v>161</v>
      </c>
      <c r="C21" s="75" t="s">
        <v>162</v>
      </c>
      <c r="D21" s="83">
        <v>1.0</v>
      </c>
      <c r="E21" s="75" t="s">
        <v>47</v>
      </c>
      <c r="F21" s="75"/>
      <c r="G21" s="75" t="s">
        <v>163</v>
      </c>
      <c r="H21" s="81">
        <v>20000.0</v>
      </c>
      <c r="I21" s="80"/>
      <c r="J21" s="39">
        <f t="shared" si="2"/>
        <v>20000</v>
      </c>
    </row>
    <row r="22">
      <c r="A22" s="75">
        <v>9.0</v>
      </c>
      <c r="B22" s="76" t="s">
        <v>204</v>
      </c>
      <c r="C22" s="75" t="s">
        <v>201</v>
      </c>
      <c r="D22" s="107">
        <f>(1/144)*7</f>
        <v>0.04861111111</v>
      </c>
      <c r="E22" s="75" t="s">
        <v>47</v>
      </c>
      <c r="F22" s="75" t="s">
        <v>202</v>
      </c>
      <c r="G22" s="75">
        <v>1001.0</v>
      </c>
      <c r="H22" s="81">
        <v>10000.0</v>
      </c>
      <c r="I22" s="75">
        <v>6000.0</v>
      </c>
      <c r="J22" s="39">
        <f t="shared" si="2"/>
        <v>486.1111111</v>
      </c>
    </row>
    <row r="23">
      <c r="A23" s="42" t="s">
        <v>63</v>
      </c>
      <c r="J23" s="42"/>
    </row>
    <row r="24">
      <c r="A24" s="43" t="s">
        <v>10</v>
      </c>
      <c r="B24" s="43" t="s">
        <v>64</v>
      </c>
      <c r="C24" s="84"/>
      <c r="D24" s="43" t="s">
        <v>13</v>
      </c>
      <c r="E24" s="43" t="s">
        <v>14</v>
      </c>
      <c r="F24" s="43" t="s">
        <v>32</v>
      </c>
      <c r="G24" s="43" t="s">
        <v>16</v>
      </c>
      <c r="H24" s="43" t="s">
        <v>65</v>
      </c>
      <c r="I24" s="85"/>
      <c r="J24" s="43" t="s">
        <v>19</v>
      </c>
    </row>
    <row r="25">
      <c r="A25" s="75">
        <v>1.0</v>
      </c>
      <c r="B25" s="75" t="s">
        <v>203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3500.0</v>
      </c>
      <c r="I25" s="88"/>
      <c r="J25" s="39">
        <f t="shared" ref="J25:J28" si="3">D25*H25</f>
        <v>3500</v>
      </c>
    </row>
    <row r="26">
      <c r="A26" s="75">
        <v>2.0</v>
      </c>
      <c r="B26" s="75" t="s">
        <v>205</v>
      </c>
      <c r="C26" s="86"/>
      <c r="D26" s="87">
        <v>1.0</v>
      </c>
      <c r="E26" s="75" t="s">
        <v>47</v>
      </c>
      <c r="F26" s="86"/>
      <c r="G26" s="75" t="s">
        <v>68</v>
      </c>
      <c r="H26" s="81">
        <v>15000.0</v>
      </c>
      <c r="I26" s="88"/>
      <c r="J26" s="39">
        <f t="shared" si="3"/>
        <v>15000</v>
      </c>
    </row>
    <row r="27">
      <c r="A27" s="75">
        <v>3.0</v>
      </c>
      <c r="B27" s="75" t="s">
        <v>206</v>
      </c>
      <c r="C27" s="86"/>
      <c r="D27" s="87">
        <v>1.0</v>
      </c>
      <c r="E27" s="75" t="s">
        <v>47</v>
      </c>
      <c r="F27" s="89"/>
      <c r="G27" s="75" t="s">
        <v>68</v>
      </c>
      <c r="H27" s="81">
        <v>3000.0</v>
      </c>
      <c r="I27" s="88"/>
      <c r="J27" s="39">
        <f t="shared" si="3"/>
        <v>3000</v>
      </c>
    </row>
    <row r="28">
      <c r="A28" s="75">
        <v>4.0</v>
      </c>
      <c r="B28" s="75" t="s">
        <v>141</v>
      </c>
      <c r="C28" s="86"/>
      <c r="D28" s="87">
        <v>7.0</v>
      </c>
      <c r="E28" s="75" t="s">
        <v>47</v>
      </c>
      <c r="F28" s="89"/>
      <c r="G28" s="75" t="s">
        <v>68</v>
      </c>
      <c r="H28" s="81">
        <v>300.0</v>
      </c>
      <c r="I28" s="88"/>
      <c r="J28" s="39">
        <f t="shared" si="3"/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8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207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54600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13382.3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21500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89482.3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210</v>
      </c>
      <c r="C10" s="75" t="s">
        <v>21</v>
      </c>
      <c r="D10" s="77">
        <v>1.3</v>
      </c>
      <c r="E10" s="75" t="s">
        <v>128</v>
      </c>
      <c r="F10" s="78" t="s">
        <v>192</v>
      </c>
      <c r="G10" s="75" t="s">
        <v>211</v>
      </c>
      <c r="H10" s="79">
        <v>42000.0</v>
      </c>
      <c r="I10" s="81">
        <v>38000.0</v>
      </c>
      <c r="J10" s="39">
        <f t="shared" ref="J10:J11" si="1">D10*H10</f>
        <v>54600</v>
      </c>
    </row>
    <row r="11">
      <c r="A11" s="75">
        <v>2.0</v>
      </c>
      <c r="B11" s="76" t="s">
        <v>195</v>
      </c>
      <c r="C11" s="75"/>
      <c r="D11" s="77"/>
      <c r="E11" s="75"/>
      <c r="F11" s="78"/>
      <c r="G11" s="75"/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1/50</f>
        <v>0.02</v>
      </c>
      <c r="E14" s="75" t="s">
        <v>35</v>
      </c>
      <c r="F14" s="75" t="s">
        <v>196</v>
      </c>
      <c r="G14" s="75" t="s">
        <v>38</v>
      </c>
      <c r="H14" s="81">
        <v>25000.0</v>
      </c>
      <c r="I14" s="80"/>
      <c r="J14" s="39">
        <f t="shared" ref="J14:J22" si="2">D14*H14</f>
        <v>500</v>
      </c>
    </row>
    <row r="15">
      <c r="A15" s="75">
        <v>2.0</v>
      </c>
      <c r="B15" s="76" t="s">
        <v>39</v>
      </c>
      <c r="C15" s="75" t="s">
        <v>21</v>
      </c>
      <c r="D15" s="77">
        <f>4/50</f>
        <v>0.08</v>
      </c>
      <c r="E15" s="75" t="s">
        <v>40</v>
      </c>
      <c r="F15" s="75" t="s">
        <v>197</v>
      </c>
      <c r="G15" s="75" t="s">
        <v>38</v>
      </c>
      <c r="H15" s="81">
        <v>13000.0</v>
      </c>
      <c r="I15" s="80"/>
      <c r="J15" s="39">
        <f t="shared" si="2"/>
        <v>1040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1.5/5</f>
        <v>0.3</v>
      </c>
      <c r="E20" s="75" t="s">
        <v>148</v>
      </c>
      <c r="F20" s="75" t="s">
        <v>199</v>
      </c>
      <c r="G20" s="75" t="s">
        <v>38</v>
      </c>
      <c r="H20" s="81">
        <v>4212.0</v>
      </c>
      <c r="I20" s="80"/>
      <c r="J20" s="95">
        <f t="shared" si="2"/>
        <v>1263.6</v>
      </c>
    </row>
    <row r="21">
      <c r="A21" s="75">
        <v>8.0</v>
      </c>
      <c r="B21" s="76" t="s">
        <v>161</v>
      </c>
      <c r="C21" s="75" t="s">
        <v>162</v>
      </c>
      <c r="D21" s="83">
        <v>1.0</v>
      </c>
      <c r="E21" s="75" t="s">
        <v>47</v>
      </c>
      <c r="F21" s="75"/>
      <c r="G21" s="75" t="s">
        <v>163</v>
      </c>
      <c r="H21" s="81">
        <v>10000.0</v>
      </c>
      <c r="I21" s="80"/>
      <c r="J21" s="39">
        <f t="shared" si="2"/>
        <v>10000</v>
      </c>
    </row>
    <row r="22">
      <c r="A22" s="75">
        <v>9.0</v>
      </c>
      <c r="B22" s="76" t="s">
        <v>214</v>
      </c>
      <c r="C22" s="75" t="s">
        <v>201</v>
      </c>
      <c r="D22" s="107">
        <f>(1/144)*7</f>
        <v>0.04861111111</v>
      </c>
      <c r="E22" s="75" t="s">
        <v>47</v>
      </c>
      <c r="F22" s="75" t="s">
        <v>202</v>
      </c>
      <c r="G22" s="75">
        <v>1001.0</v>
      </c>
      <c r="H22" s="81">
        <v>6000.0</v>
      </c>
      <c r="I22" s="75">
        <v>6000.0</v>
      </c>
      <c r="J22" s="39">
        <f t="shared" si="2"/>
        <v>291.6666667</v>
      </c>
    </row>
    <row r="23">
      <c r="A23" s="42" t="s">
        <v>63</v>
      </c>
      <c r="J23" s="42"/>
    </row>
    <row r="24">
      <c r="A24" s="43" t="s">
        <v>10</v>
      </c>
      <c r="B24" s="43" t="s">
        <v>64</v>
      </c>
      <c r="C24" s="84"/>
      <c r="D24" s="43" t="s">
        <v>13</v>
      </c>
      <c r="E24" s="43" t="s">
        <v>14</v>
      </c>
      <c r="F24" s="43" t="s">
        <v>32</v>
      </c>
      <c r="G24" s="43" t="s">
        <v>16</v>
      </c>
      <c r="H24" s="43" t="s">
        <v>65</v>
      </c>
      <c r="I24" s="85"/>
      <c r="J24" s="43" t="s">
        <v>19</v>
      </c>
    </row>
    <row r="25">
      <c r="A25" s="75">
        <v>1.0</v>
      </c>
      <c r="B25" s="75" t="s">
        <v>203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3500.0</v>
      </c>
      <c r="I25" s="88"/>
      <c r="J25" s="39">
        <f t="shared" ref="J25:J28" si="3">D25*H25</f>
        <v>3500</v>
      </c>
    </row>
    <row r="26">
      <c r="A26" s="75">
        <v>2.0</v>
      </c>
      <c r="B26" s="75" t="s">
        <v>205</v>
      </c>
      <c r="C26" s="86"/>
      <c r="D26" s="87">
        <v>1.0</v>
      </c>
      <c r="E26" s="75" t="s">
        <v>47</v>
      </c>
      <c r="F26" s="86"/>
      <c r="G26" s="75" t="s">
        <v>68</v>
      </c>
      <c r="H26" s="81">
        <v>15000.0</v>
      </c>
      <c r="I26" s="88"/>
      <c r="J26" s="39">
        <f t="shared" si="3"/>
        <v>15000</v>
      </c>
    </row>
    <row r="27">
      <c r="A27" s="75">
        <v>3.0</v>
      </c>
      <c r="B27" s="75" t="s">
        <v>206</v>
      </c>
      <c r="C27" s="86"/>
      <c r="D27" s="87">
        <v>1.0</v>
      </c>
      <c r="E27" s="75" t="s">
        <v>47</v>
      </c>
      <c r="F27" s="89"/>
      <c r="G27" s="75" t="s">
        <v>68</v>
      </c>
      <c r="H27" s="81">
        <v>3000.0</v>
      </c>
      <c r="I27" s="88"/>
      <c r="J27" s="39">
        <f t="shared" si="3"/>
        <v>3000</v>
      </c>
    </row>
    <row r="28">
      <c r="A28" s="75">
        <v>4.0</v>
      </c>
      <c r="B28" s="75" t="s">
        <v>141</v>
      </c>
      <c r="C28" s="86"/>
      <c r="D28" s="87">
        <v>7.0</v>
      </c>
      <c r="E28" s="75" t="s">
        <v>47</v>
      </c>
      <c r="F28" s="89"/>
      <c r="G28" s="75" t="s">
        <v>68</v>
      </c>
      <c r="H28" s="81">
        <v>300.0</v>
      </c>
      <c r="I28" s="88"/>
      <c r="J28" s="39">
        <f t="shared" si="3"/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2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208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54600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23382.3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21500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99482.3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210</v>
      </c>
      <c r="C10" s="75" t="s">
        <v>21</v>
      </c>
      <c r="D10" s="77">
        <v>1.3</v>
      </c>
      <c r="E10" s="75" t="s">
        <v>128</v>
      </c>
      <c r="F10" s="78" t="s">
        <v>192</v>
      </c>
      <c r="G10" s="75" t="s">
        <v>211</v>
      </c>
      <c r="H10" s="79">
        <v>42000.0</v>
      </c>
      <c r="I10" s="81">
        <v>38000.0</v>
      </c>
      <c r="J10" s="39">
        <f t="shared" ref="J10:J11" si="1">D10*H10</f>
        <v>54600</v>
      </c>
    </row>
    <row r="11">
      <c r="A11" s="75">
        <v>2.0</v>
      </c>
      <c r="B11" s="76" t="s">
        <v>195</v>
      </c>
      <c r="C11" s="75"/>
      <c r="D11" s="77"/>
      <c r="E11" s="75"/>
      <c r="F11" s="78"/>
      <c r="G11" s="75"/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1/50</f>
        <v>0.02</v>
      </c>
      <c r="E14" s="75" t="s">
        <v>35</v>
      </c>
      <c r="F14" s="75" t="s">
        <v>196</v>
      </c>
      <c r="G14" s="75" t="s">
        <v>38</v>
      </c>
      <c r="H14" s="81">
        <v>25000.0</v>
      </c>
      <c r="I14" s="80"/>
      <c r="J14" s="39">
        <f t="shared" ref="J14:J22" si="2">D14*H14</f>
        <v>500</v>
      </c>
    </row>
    <row r="15">
      <c r="A15" s="75">
        <v>2.0</v>
      </c>
      <c r="B15" s="76" t="s">
        <v>39</v>
      </c>
      <c r="C15" s="75" t="s">
        <v>21</v>
      </c>
      <c r="D15" s="77">
        <f>4/50</f>
        <v>0.08</v>
      </c>
      <c r="E15" s="75" t="s">
        <v>40</v>
      </c>
      <c r="F15" s="75" t="s">
        <v>197</v>
      </c>
      <c r="G15" s="75" t="s">
        <v>38</v>
      </c>
      <c r="H15" s="81">
        <v>13000.0</v>
      </c>
      <c r="I15" s="80"/>
      <c r="J15" s="39">
        <f t="shared" si="2"/>
        <v>1040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1.5/5</f>
        <v>0.3</v>
      </c>
      <c r="E20" s="75" t="s">
        <v>148</v>
      </c>
      <c r="F20" s="75" t="s">
        <v>199</v>
      </c>
      <c r="G20" s="75" t="s">
        <v>38</v>
      </c>
      <c r="H20" s="81">
        <v>4212.0</v>
      </c>
      <c r="I20" s="80"/>
      <c r="J20" s="95">
        <f t="shared" si="2"/>
        <v>1263.6</v>
      </c>
    </row>
    <row r="21">
      <c r="A21" s="75">
        <v>8.0</v>
      </c>
      <c r="B21" s="76" t="s">
        <v>161</v>
      </c>
      <c r="C21" s="75" t="s">
        <v>162</v>
      </c>
      <c r="D21" s="83">
        <v>1.0</v>
      </c>
      <c r="E21" s="75" t="s">
        <v>47</v>
      </c>
      <c r="F21" s="75"/>
      <c r="G21" s="75" t="s">
        <v>163</v>
      </c>
      <c r="H21" s="81">
        <v>20000.0</v>
      </c>
      <c r="I21" s="80"/>
      <c r="J21" s="39">
        <f t="shared" si="2"/>
        <v>20000</v>
      </c>
    </row>
    <row r="22">
      <c r="A22" s="75">
        <v>9.0</v>
      </c>
      <c r="B22" s="76" t="s">
        <v>214</v>
      </c>
      <c r="C22" s="75" t="s">
        <v>201</v>
      </c>
      <c r="D22" s="107">
        <f>(1/144)*7</f>
        <v>0.04861111111</v>
      </c>
      <c r="E22" s="75" t="s">
        <v>47</v>
      </c>
      <c r="F22" s="75" t="s">
        <v>202</v>
      </c>
      <c r="G22" s="75">
        <v>1001.0</v>
      </c>
      <c r="H22" s="81">
        <v>6000.0</v>
      </c>
      <c r="I22" s="75">
        <v>6000.0</v>
      </c>
      <c r="J22" s="39">
        <f t="shared" si="2"/>
        <v>291.6666667</v>
      </c>
    </row>
    <row r="23">
      <c r="A23" s="42" t="s">
        <v>63</v>
      </c>
      <c r="J23" s="42"/>
    </row>
    <row r="24">
      <c r="A24" s="43" t="s">
        <v>10</v>
      </c>
      <c r="B24" s="43" t="s">
        <v>64</v>
      </c>
      <c r="C24" s="84"/>
      <c r="D24" s="43" t="s">
        <v>13</v>
      </c>
      <c r="E24" s="43" t="s">
        <v>14</v>
      </c>
      <c r="F24" s="43" t="s">
        <v>32</v>
      </c>
      <c r="G24" s="43" t="s">
        <v>16</v>
      </c>
      <c r="H24" s="43" t="s">
        <v>65</v>
      </c>
      <c r="I24" s="85"/>
      <c r="J24" s="43" t="s">
        <v>19</v>
      </c>
    </row>
    <row r="25">
      <c r="A25" s="75">
        <v>1.0</v>
      </c>
      <c r="B25" s="75" t="s">
        <v>203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3500.0</v>
      </c>
      <c r="I25" s="88"/>
      <c r="J25" s="39">
        <f t="shared" ref="J25:J28" si="3">D25*H25</f>
        <v>3500</v>
      </c>
    </row>
    <row r="26">
      <c r="A26" s="75">
        <v>2.0</v>
      </c>
      <c r="B26" s="75" t="s">
        <v>205</v>
      </c>
      <c r="C26" s="86"/>
      <c r="D26" s="87">
        <v>1.0</v>
      </c>
      <c r="E26" s="75" t="s">
        <v>47</v>
      </c>
      <c r="F26" s="86"/>
      <c r="G26" s="75" t="s">
        <v>68</v>
      </c>
      <c r="H26" s="81">
        <v>15000.0</v>
      </c>
      <c r="I26" s="88"/>
      <c r="J26" s="39">
        <f t="shared" si="3"/>
        <v>15000</v>
      </c>
    </row>
    <row r="27">
      <c r="A27" s="75">
        <v>3.0</v>
      </c>
      <c r="B27" s="75" t="s">
        <v>206</v>
      </c>
      <c r="C27" s="86"/>
      <c r="D27" s="87">
        <v>1.0</v>
      </c>
      <c r="E27" s="75" t="s">
        <v>47</v>
      </c>
      <c r="F27" s="89"/>
      <c r="G27" s="75" t="s">
        <v>68</v>
      </c>
      <c r="H27" s="81">
        <v>3000.0</v>
      </c>
      <c r="I27" s="88"/>
      <c r="J27" s="39">
        <f t="shared" si="3"/>
        <v>3000</v>
      </c>
    </row>
    <row r="28">
      <c r="A28" s="75">
        <v>4.0</v>
      </c>
      <c r="B28" s="75" t="s">
        <v>141</v>
      </c>
      <c r="C28" s="86"/>
      <c r="D28" s="87">
        <v>7.0</v>
      </c>
      <c r="E28" s="75" t="s">
        <v>47</v>
      </c>
      <c r="F28" s="89"/>
      <c r="G28" s="75" t="s">
        <v>68</v>
      </c>
      <c r="H28" s="81">
        <v>300.0</v>
      </c>
      <c r="I28" s="88"/>
      <c r="J28" s="39">
        <f t="shared" si="3"/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0.38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36"/>
    </row>
    <row r="2">
      <c r="A2" s="3"/>
      <c r="B2" s="4" t="s">
        <v>209</v>
      </c>
      <c r="C2" s="5" t="s">
        <v>3</v>
      </c>
      <c r="D2" s="6"/>
      <c r="E2" s="7"/>
      <c r="F2" s="1"/>
      <c r="G2" s="1"/>
      <c r="H2" s="1"/>
      <c r="I2" s="1"/>
      <c r="J2" s="36"/>
    </row>
    <row r="3">
      <c r="A3" s="3"/>
      <c r="B3" s="8" t="s">
        <v>4</v>
      </c>
      <c r="C3" s="97">
        <f>SUM(J10:J11)</f>
        <v>65000</v>
      </c>
      <c r="D3" s="6"/>
      <c r="E3" s="7"/>
      <c r="F3" s="1"/>
      <c r="G3" s="1"/>
      <c r="H3" s="1"/>
      <c r="I3" s="1"/>
      <c r="J3" s="36"/>
    </row>
    <row r="4">
      <c r="A4" s="3"/>
      <c r="B4" s="10" t="s">
        <v>6</v>
      </c>
      <c r="C4" s="98">
        <f>SUM(J14:J21)</f>
        <v>13382.3</v>
      </c>
      <c r="D4" s="6"/>
      <c r="E4" s="7"/>
      <c r="F4" s="1"/>
      <c r="G4" s="1"/>
      <c r="H4" s="1"/>
      <c r="I4" s="1"/>
      <c r="J4" s="36"/>
    </row>
    <row r="5">
      <c r="A5" s="3"/>
      <c r="B5" s="12" t="s">
        <v>7</v>
      </c>
      <c r="C5" s="99">
        <f>SUM(J24:J27)</f>
        <v>21500</v>
      </c>
      <c r="D5" s="6"/>
      <c r="E5" s="7"/>
      <c r="F5" s="1"/>
      <c r="G5" s="1"/>
      <c r="H5" s="1"/>
      <c r="I5" s="1"/>
      <c r="J5" s="36"/>
    </row>
    <row r="6">
      <c r="A6" s="3"/>
      <c r="B6" s="4" t="s">
        <v>8</v>
      </c>
      <c r="C6" s="100">
        <f>SUM(C3:D5)</f>
        <v>99882.3</v>
      </c>
      <c r="D6" s="6"/>
      <c r="E6" s="7"/>
      <c r="F6" s="1"/>
      <c r="G6" s="1"/>
      <c r="H6" s="1"/>
      <c r="I6" s="1"/>
      <c r="J6" s="36"/>
    </row>
    <row r="7">
      <c r="A7" s="1"/>
      <c r="B7" s="15"/>
      <c r="C7" s="15"/>
      <c r="D7" s="15"/>
      <c r="E7" s="1"/>
      <c r="F7" s="1"/>
      <c r="G7" s="1"/>
      <c r="H7" s="1"/>
      <c r="I7" s="1"/>
      <c r="J7" s="36"/>
    </row>
    <row r="8">
      <c r="A8" s="16" t="s">
        <v>9</v>
      </c>
      <c r="J8" s="3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38" t="s">
        <v>19</v>
      </c>
    </row>
    <row r="10">
      <c r="A10" s="19">
        <v>1.0</v>
      </c>
      <c r="B10" s="20" t="s">
        <v>212</v>
      </c>
      <c r="C10" s="19" t="s">
        <v>21</v>
      </c>
      <c r="D10" s="21">
        <v>1.3</v>
      </c>
      <c r="E10" s="19" t="s">
        <v>128</v>
      </c>
      <c r="F10" s="44" t="s">
        <v>192</v>
      </c>
      <c r="G10" s="19" t="s">
        <v>213</v>
      </c>
      <c r="H10" s="52">
        <v>50000.0</v>
      </c>
      <c r="I10" s="22">
        <v>45000.0</v>
      </c>
      <c r="J10" s="23">
        <f t="shared" ref="J10:J11" si="1">D10*H10</f>
        <v>65000</v>
      </c>
    </row>
    <row r="11">
      <c r="A11" s="19">
        <v>2.0</v>
      </c>
      <c r="B11" s="20" t="s">
        <v>195</v>
      </c>
      <c r="C11" s="20"/>
      <c r="D11" s="56"/>
      <c r="E11" s="20"/>
      <c r="F11" s="53"/>
      <c r="G11" s="20"/>
      <c r="H11" s="57"/>
      <c r="I11" s="24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1/50</f>
        <v>0.02</v>
      </c>
      <c r="E14" s="19" t="s">
        <v>35</v>
      </c>
      <c r="F14" s="19" t="s">
        <v>196</v>
      </c>
      <c r="G14" s="19" t="s">
        <v>38</v>
      </c>
      <c r="H14" s="22">
        <v>25000.0</v>
      </c>
      <c r="I14" s="24"/>
      <c r="J14" s="23">
        <f t="shared" ref="J14:J22" si="2">D14*H14</f>
        <v>500</v>
      </c>
    </row>
    <row r="15">
      <c r="A15" s="19">
        <v>2.0</v>
      </c>
      <c r="B15" s="20" t="s">
        <v>39</v>
      </c>
      <c r="C15" s="19" t="s">
        <v>21</v>
      </c>
      <c r="D15" s="21">
        <f>4/50</f>
        <v>0.08</v>
      </c>
      <c r="E15" s="19" t="s">
        <v>40</v>
      </c>
      <c r="F15" s="19" t="s">
        <v>197</v>
      </c>
      <c r="G15" s="19" t="s">
        <v>38</v>
      </c>
      <c r="H15" s="22">
        <v>13000.0</v>
      </c>
      <c r="I15" s="24"/>
      <c r="J15" s="23">
        <f t="shared" si="2"/>
        <v>1040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198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147</v>
      </c>
      <c r="C20" s="19" t="s">
        <v>54</v>
      </c>
      <c r="D20" s="104">
        <f>1.5/5</f>
        <v>0.3</v>
      </c>
      <c r="E20" s="19" t="s">
        <v>148</v>
      </c>
      <c r="F20" s="19" t="s">
        <v>199</v>
      </c>
      <c r="G20" s="19" t="s">
        <v>38</v>
      </c>
      <c r="H20" s="22">
        <v>4212.0</v>
      </c>
      <c r="I20" s="24"/>
      <c r="J20" s="105">
        <f t="shared" si="2"/>
        <v>1263.6</v>
      </c>
    </row>
    <row r="21">
      <c r="A21" s="19">
        <v>8.0</v>
      </c>
      <c r="B21" s="20" t="s">
        <v>161</v>
      </c>
      <c r="C21" s="19" t="s">
        <v>162</v>
      </c>
      <c r="D21" s="28">
        <v>1.0</v>
      </c>
      <c r="E21" s="19" t="s">
        <v>47</v>
      </c>
      <c r="F21" s="20"/>
      <c r="G21" s="19" t="s">
        <v>163</v>
      </c>
      <c r="H21" s="22">
        <v>10000.0</v>
      </c>
      <c r="I21" s="24"/>
      <c r="J21" s="23">
        <f t="shared" si="2"/>
        <v>10000</v>
      </c>
    </row>
    <row r="22">
      <c r="A22" s="19">
        <v>9.0</v>
      </c>
      <c r="B22" s="20" t="s">
        <v>214</v>
      </c>
      <c r="C22" s="19" t="s">
        <v>201</v>
      </c>
      <c r="D22" s="108">
        <f>(1/144)*7</f>
        <v>0.04861111111</v>
      </c>
      <c r="E22" s="19" t="s">
        <v>47</v>
      </c>
      <c r="F22" s="19" t="s">
        <v>202</v>
      </c>
      <c r="G22" s="19">
        <v>1001.0</v>
      </c>
      <c r="H22" s="22">
        <v>6000.0</v>
      </c>
      <c r="I22" s="19">
        <v>6000.0</v>
      </c>
      <c r="J22" s="23">
        <f t="shared" si="2"/>
        <v>291.6666667</v>
      </c>
    </row>
    <row r="23">
      <c r="A23" s="29" t="s">
        <v>63</v>
      </c>
      <c r="J23" s="30"/>
    </row>
    <row r="24">
      <c r="A24" s="31" t="s">
        <v>10</v>
      </c>
      <c r="B24" s="31" t="s">
        <v>64</v>
      </c>
      <c r="C24" s="32"/>
      <c r="D24" s="48" t="s">
        <v>13</v>
      </c>
      <c r="E24" s="31" t="s">
        <v>14</v>
      </c>
      <c r="F24" s="49" t="s">
        <v>32</v>
      </c>
      <c r="G24" s="31" t="s">
        <v>16</v>
      </c>
      <c r="H24" s="50" t="s">
        <v>65</v>
      </c>
      <c r="I24" s="32"/>
      <c r="J24" s="31" t="s">
        <v>19</v>
      </c>
    </row>
    <row r="25">
      <c r="A25" s="19">
        <v>1.0</v>
      </c>
      <c r="B25" s="19" t="s">
        <v>203</v>
      </c>
      <c r="C25" s="33"/>
      <c r="D25" s="34">
        <v>1.0</v>
      </c>
      <c r="E25" s="19" t="s">
        <v>47</v>
      </c>
      <c r="F25" s="33"/>
      <c r="G25" s="19" t="s">
        <v>68</v>
      </c>
      <c r="H25" s="22">
        <v>3500.0</v>
      </c>
      <c r="I25" s="33"/>
      <c r="J25" s="23">
        <f t="shared" ref="J25:J28" si="3">D25*H25</f>
        <v>3500</v>
      </c>
    </row>
    <row r="26">
      <c r="A26" s="19">
        <v>2.0</v>
      </c>
      <c r="B26" s="19" t="s">
        <v>205</v>
      </c>
      <c r="C26" s="33"/>
      <c r="D26" s="34">
        <v>1.0</v>
      </c>
      <c r="E26" s="19" t="s">
        <v>47</v>
      </c>
      <c r="F26" s="35"/>
      <c r="G26" s="19" t="s">
        <v>68</v>
      </c>
      <c r="H26" s="22">
        <v>15000.0</v>
      </c>
      <c r="I26" s="33"/>
      <c r="J26" s="23">
        <f t="shared" si="3"/>
        <v>15000</v>
      </c>
    </row>
    <row r="27">
      <c r="A27" s="19">
        <v>3.0</v>
      </c>
      <c r="B27" s="19" t="s">
        <v>206</v>
      </c>
      <c r="C27" s="33"/>
      <c r="D27" s="34">
        <v>1.0</v>
      </c>
      <c r="E27" s="19" t="s">
        <v>47</v>
      </c>
      <c r="F27" s="35"/>
      <c r="G27" s="19" t="s">
        <v>68</v>
      </c>
      <c r="H27" s="22">
        <v>3000.0</v>
      </c>
      <c r="I27" s="33"/>
      <c r="J27" s="23">
        <f t="shared" si="3"/>
        <v>3000</v>
      </c>
    </row>
    <row r="28">
      <c r="A28" s="19">
        <v>4.0</v>
      </c>
      <c r="B28" s="19" t="s">
        <v>141</v>
      </c>
      <c r="C28" s="33"/>
      <c r="D28" s="34">
        <v>7.0</v>
      </c>
      <c r="E28" s="19" t="s">
        <v>47</v>
      </c>
      <c r="F28" s="35"/>
      <c r="G28" s="19" t="s">
        <v>68</v>
      </c>
      <c r="H28" s="22">
        <v>300.0</v>
      </c>
      <c r="I28" s="33"/>
      <c r="J28" s="23">
        <f t="shared" si="3"/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0.38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36"/>
    </row>
    <row r="2">
      <c r="A2" s="3"/>
      <c r="B2" s="4" t="s">
        <v>209</v>
      </c>
      <c r="C2" s="5" t="s">
        <v>3</v>
      </c>
      <c r="D2" s="6"/>
      <c r="E2" s="7"/>
      <c r="F2" s="1"/>
      <c r="G2" s="1"/>
      <c r="H2" s="1"/>
      <c r="I2" s="1"/>
      <c r="J2" s="36"/>
    </row>
    <row r="3">
      <c r="A3" s="3"/>
      <c r="B3" s="8" t="s">
        <v>4</v>
      </c>
      <c r="C3" s="97">
        <f>SUM(J10:J11)</f>
        <v>65000</v>
      </c>
      <c r="D3" s="6"/>
      <c r="E3" s="7"/>
      <c r="F3" s="1"/>
      <c r="G3" s="1"/>
      <c r="H3" s="1"/>
      <c r="I3" s="1"/>
      <c r="J3" s="36"/>
    </row>
    <row r="4">
      <c r="A4" s="3"/>
      <c r="B4" s="10" t="s">
        <v>6</v>
      </c>
      <c r="C4" s="98">
        <f>SUM(J14:J21)</f>
        <v>23382.3</v>
      </c>
      <c r="D4" s="6"/>
      <c r="E4" s="7"/>
      <c r="F4" s="1"/>
      <c r="G4" s="1"/>
      <c r="H4" s="1"/>
      <c r="I4" s="1"/>
      <c r="J4" s="36"/>
    </row>
    <row r="5">
      <c r="A5" s="3"/>
      <c r="B5" s="12" t="s">
        <v>7</v>
      </c>
      <c r="C5" s="99">
        <f>SUM(J24:J27)</f>
        <v>38300</v>
      </c>
      <c r="D5" s="6"/>
      <c r="E5" s="7"/>
      <c r="F5" s="1"/>
      <c r="G5" s="1"/>
      <c r="H5" s="1"/>
      <c r="I5" s="1"/>
      <c r="J5" s="36"/>
    </row>
    <row r="6">
      <c r="A6" s="3"/>
      <c r="B6" s="4" t="s">
        <v>8</v>
      </c>
      <c r="C6" s="100">
        <f>SUM(C3:D5)</f>
        <v>126682.3</v>
      </c>
      <c r="D6" s="6"/>
      <c r="E6" s="7"/>
      <c r="F6" s="1"/>
      <c r="G6" s="1"/>
      <c r="H6" s="1"/>
      <c r="I6" s="1"/>
      <c r="J6" s="36"/>
    </row>
    <row r="7">
      <c r="A7" s="1"/>
      <c r="B7" s="15"/>
      <c r="C7" s="15"/>
      <c r="D7" s="15"/>
      <c r="E7" s="1"/>
      <c r="F7" s="1"/>
      <c r="G7" s="1"/>
      <c r="H7" s="1"/>
      <c r="I7" s="1"/>
      <c r="J7" s="36"/>
    </row>
    <row r="8">
      <c r="A8" s="16" t="s">
        <v>9</v>
      </c>
      <c r="J8" s="3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38" t="s">
        <v>19</v>
      </c>
    </row>
    <row r="10">
      <c r="A10" s="19">
        <v>1.0</v>
      </c>
      <c r="B10" s="20" t="s">
        <v>212</v>
      </c>
      <c r="C10" s="19" t="s">
        <v>21</v>
      </c>
      <c r="D10" s="21">
        <v>1.3</v>
      </c>
      <c r="E10" s="19" t="s">
        <v>128</v>
      </c>
      <c r="F10" s="44" t="s">
        <v>192</v>
      </c>
      <c r="G10" s="19" t="s">
        <v>213</v>
      </c>
      <c r="H10" s="52">
        <v>50000.0</v>
      </c>
      <c r="I10" s="22">
        <v>45000.0</v>
      </c>
      <c r="J10" s="39">
        <f t="shared" ref="J10:J11" si="1">D10*H10</f>
        <v>65000</v>
      </c>
    </row>
    <row r="11">
      <c r="A11" s="19">
        <v>2.0</v>
      </c>
      <c r="B11" s="20"/>
      <c r="C11" s="20"/>
      <c r="D11" s="56"/>
      <c r="E11" s="20"/>
      <c r="F11" s="53"/>
      <c r="G11" s="20"/>
      <c r="H11" s="57"/>
      <c r="I11" s="24"/>
      <c r="J11" s="39">
        <f t="shared" si="1"/>
        <v>0</v>
      </c>
    </row>
    <row r="12">
      <c r="A12" s="25" t="s">
        <v>31</v>
      </c>
      <c r="J12" s="40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41" t="s">
        <v>19</v>
      </c>
    </row>
    <row r="14">
      <c r="A14" s="19">
        <v>1.0</v>
      </c>
      <c r="B14" s="20" t="s">
        <v>33</v>
      </c>
      <c r="C14" s="19" t="s">
        <v>21</v>
      </c>
      <c r="D14" s="21">
        <f>1/50</f>
        <v>0.02</v>
      </c>
      <c r="E14" s="19" t="s">
        <v>35</v>
      </c>
      <c r="F14" s="19" t="s">
        <v>196</v>
      </c>
      <c r="G14" s="19" t="s">
        <v>38</v>
      </c>
      <c r="H14" s="22">
        <v>25000.0</v>
      </c>
      <c r="I14" s="24"/>
      <c r="J14" s="39">
        <f t="shared" ref="J14:J21" si="2">D14*H14</f>
        <v>500</v>
      </c>
    </row>
    <row r="15">
      <c r="A15" s="19">
        <v>2.0</v>
      </c>
      <c r="B15" s="20" t="s">
        <v>39</v>
      </c>
      <c r="C15" s="19" t="s">
        <v>21</v>
      </c>
      <c r="D15" s="21">
        <f>4/50</f>
        <v>0.08</v>
      </c>
      <c r="E15" s="19" t="s">
        <v>40</v>
      </c>
      <c r="F15" s="19" t="s">
        <v>197</v>
      </c>
      <c r="G15" s="19" t="s">
        <v>38</v>
      </c>
      <c r="H15" s="22">
        <v>13000.0</v>
      </c>
      <c r="I15" s="24"/>
      <c r="J15" s="39">
        <f t="shared" si="2"/>
        <v>1040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198</v>
      </c>
      <c r="G16" s="19" t="s">
        <v>38</v>
      </c>
      <c r="H16" s="22">
        <v>10000.0</v>
      </c>
      <c r="I16" s="24"/>
      <c r="J16" s="39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39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39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39">
        <f t="shared" si="2"/>
        <v>50</v>
      </c>
    </row>
    <row r="20">
      <c r="A20" s="19">
        <v>7.0</v>
      </c>
      <c r="B20" s="20" t="s">
        <v>147</v>
      </c>
      <c r="C20" s="19" t="s">
        <v>54</v>
      </c>
      <c r="D20" s="104">
        <f>1.5/5</f>
        <v>0.3</v>
      </c>
      <c r="E20" s="19" t="s">
        <v>148</v>
      </c>
      <c r="F20" s="19" t="s">
        <v>199</v>
      </c>
      <c r="G20" s="19" t="s">
        <v>38</v>
      </c>
      <c r="H20" s="22">
        <v>4212.0</v>
      </c>
      <c r="I20" s="24"/>
      <c r="J20" s="95">
        <f t="shared" si="2"/>
        <v>1263.6</v>
      </c>
    </row>
    <row r="21">
      <c r="A21" s="19">
        <v>8.0</v>
      </c>
      <c r="B21" s="20" t="s">
        <v>161</v>
      </c>
      <c r="C21" s="19" t="s">
        <v>162</v>
      </c>
      <c r="D21" s="28">
        <v>1.0</v>
      </c>
      <c r="E21" s="19" t="s">
        <v>47</v>
      </c>
      <c r="F21" s="20"/>
      <c r="G21" s="19" t="s">
        <v>163</v>
      </c>
      <c r="H21" s="22">
        <v>20000.0</v>
      </c>
      <c r="I21" s="24"/>
      <c r="J21" s="39">
        <f t="shared" si="2"/>
        <v>20000</v>
      </c>
    </row>
    <row r="22">
      <c r="A22" s="29" t="s">
        <v>63</v>
      </c>
      <c r="J22" s="42"/>
    </row>
    <row r="23">
      <c r="A23" s="31" t="s">
        <v>10</v>
      </c>
      <c r="B23" s="31" t="s">
        <v>64</v>
      </c>
      <c r="C23" s="32"/>
      <c r="D23" s="31" t="s">
        <v>13</v>
      </c>
      <c r="E23" s="31" t="s">
        <v>14</v>
      </c>
      <c r="F23" s="31" t="s">
        <v>32</v>
      </c>
      <c r="G23" s="31" t="s">
        <v>16</v>
      </c>
      <c r="H23" s="31" t="s">
        <v>65</v>
      </c>
      <c r="I23" s="32"/>
      <c r="J23" s="43" t="s">
        <v>19</v>
      </c>
    </row>
    <row r="24">
      <c r="A24" s="19">
        <v>1.0</v>
      </c>
      <c r="B24" s="19" t="s">
        <v>66</v>
      </c>
      <c r="C24" s="33"/>
      <c r="D24" s="34">
        <v>1.0</v>
      </c>
      <c r="E24" s="19" t="s">
        <v>47</v>
      </c>
      <c r="F24" s="33"/>
      <c r="G24" s="19" t="s">
        <v>68</v>
      </c>
      <c r="H24" s="22">
        <v>10000.0</v>
      </c>
      <c r="I24" s="33"/>
      <c r="J24" s="39">
        <f t="shared" ref="J24:J27" si="3">D24*H24</f>
        <v>10000</v>
      </c>
    </row>
    <row r="25">
      <c r="A25" s="19">
        <v>2.0</v>
      </c>
      <c r="B25" s="19" t="s">
        <v>71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20000.0</v>
      </c>
      <c r="I25" s="33"/>
      <c r="J25" s="39">
        <f t="shared" si="3"/>
        <v>20000</v>
      </c>
    </row>
    <row r="26">
      <c r="A26" s="19">
        <v>3.0</v>
      </c>
      <c r="B26" s="19" t="s">
        <v>72</v>
      </c>
      <c r="C26" s="33"/>
      <c r="D26" s="34">
        <v>1.0</v>
      </c>
      <c r="E26" s="19" t="s">
        <v>47</v>
      </c>
      <c r="F26" s="35"/>
      <c r="G26" s="19" t="s">
        <v>68</v>
      </c>
      <c r="H26" s="22">
        <v>5000.0</v>
      </c>
      <c r="I26" s="33"/>
      <c r="J26" s="39">
        <f t="shared" si="3"/>
        <v>5000</v>
      </c>
    </row>
    <row r="27">
      <c r="A27" s="19">
        <v>4.0</v>
      </c>
      <c r="B27" s="19" t="s">
        <v>141</v>
      </c>
      <c r="C27" s="33"/>
      <c r="D27" s="34">
        <v>11.0</v>
      </c>
      <c r="E27" s="19" t="s">
        <v>47</v>
      </c>
      <c r="F27" s="35"/>
      <c r="G27" s="19" t="s">
        <v>68</v>
      </c>
      <c r="H27" s="22">
        <v>300.0</v>
      </c>
      <c r="I27" s="33"/>
      <c r="J27" s="39">
        <f t="shared" si="3"/>
        <v>3300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7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215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52500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13382.3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24500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90382.3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191</v>
      </c>
      <c r="C10" s="75" t="s">
        <v>21</v>
      </c>
      <c r="D10" s="77">
        <v>1.5</v>
      </c>
      <c r="E10" s="75" t="s">
        <v>128</v>
      </c>
      <c r="F10" s="78" t="s">
        <v>217</v>
      </c>
      <c r="G10" s="75" t="s">
        <v>193</v>
      </c>
      <c r="H10" s="79">
        <v>35000.0</v>
      </c>
      <c r="I10" s="81">
        <v>30000.0</v>
      </c>
      <c r="J10" s="39">
        <f t="shared" ref="J10:J11" si="1">D10*H10</f>
        <v>52500</v>
      </c>
    </row>
    <row r="11">
      <c r="A11" s="75">
        <v>2.0</v>
      </c>
      <c r="B11" s="76" t="s">
        <v>195</v>
      </c>
      <c r="C11" s="75"/>
      <c r="D11" s="77"/>
      <c r="E11" s="75"/>
      <c r="F11" s="78"/>
      <c r="G11" s="75"/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1/50</f>
        <v>0.02</v>
      </c>
      <c r="E14" s="75" t="s">
        <v>35</v>
      </c>
      <c r="F14" s="75" t="s">
        <v>196</v>
      </c>
      <c r="G14" s="75" t="s">
        <v>38</v>
      </c>
      <c r="H14" s="81">
        <v>25000.0</v>
      </c>
      <c r="I14" s="80"/>
      <c r="J14" s="39">
        <f t="shared" ref="J14:J22" si="2">D14*H14</f>
        <v>500</v>
      </c>
    </row>
    <row r="15">
      <c r="A15" s="75">
        <v>2.0</v>
      </c>
      <c r="B15" s="76" t="s">
        <v>39</v>
      </c>
      <c r="C15" s="75" t="s">
        <v>21</v>
      </c>
      <c r="D15" s="77">
        <f>4/50</f>
        <v>0.08</v>
      </c>
      <c r="E15" s="75" t="s">
        <v>40</v>
      </c>
      <c r="F15" s="75" t="s">
        <v>197</v>
      </c>
      <c r="G15" s="75" t="s">
        <v>38</v>
      </c>
      <c r="H15" s="81">
        <v>13000.0</v>
      </c>
      <c r="I15" s="80"/>
      <c r="J15" s="39">
        <f t="shared" si="2"/>
        <v>1040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1.5/5</f>
        <v>0.3</v>
      </c>
      <c r="E20" s="75" t="s">
        <v>148</v>
      </c>
      <c r="F20" s="75" t="s">
        <v>199</v>
      </c>
      <c r="G20" s="75" t="s">
        <v>38</v>
      </c>
      <c r="H20" s="81">
        <v>4212.0</v>
      </c>
      <c r="I20" s="80"/>
      <c r="J20" s="95">
        <f t="shared" si="2"/>
        <v>1263.6</v>
      </c>
    </row>
    <row r="21">
      <c r="A21" s="75">
        <v>8.0</v>
      </c>
      <c r="B21" s="76" t="s">
        <v>161</v>
      </c>
      <c r="C21" s="75" t="s">
        <v>162</v>
      </c>
      <c r="D21" s="83">
        <v>1.0</v>
      </c>
      <c r="E21" s="75" t="s">
        <v>47</v>
      </c>
      <c r="F21" s="75"/>
      <c r="G21" s="75" t="s">
        <v>163</v>
      </c>
      <c r="H21" s="81">
        <v>10000.0</v>
      </c>
      <c r="I21" s="80"/>
      <c r="J21" s="39">
        <f t="shared" si="2"/>
        <v>10000</v>
      </c>
    </row>
    <row r="22">
      <c r="A22" s="75">
        <v>9.0</v>
      </c>
      <c r="B22" s="76" t="s">
        <v>200</v>
      </c>
      <c r="C22" s="75" t="s">
        <v>201</v>
      </c>
      <c r="D22" s="107">
        <f>(1/144)*7</f>
        <v>0.04861111111</v>
      </c>
      <c r="E22" s="75" t="s">
        <v>47</v>
      </c>
      <c r="F22" s="75" t="s">
        <v>202</v>
      </c>
      <c r="G22" s="75">
        <v>1001.0</v>
      </c>
      <c r="H22" s="81">
        <v>6000.0</v>
      </c>
      <c r="I22" s="75">
        <v>6000.0</v>
      </c>
      <c r="J22" s="39">
        <f t="shared" si="2"/>
        <v>291.6666667</v>
      </c>
    </row>
    <row r="23">
      <c r="A23" s="42" t="s">
        <v>63</v>
      </c>
      <c r="J23" s="42"/>
    </row>
    <row r="24">
      <c r="A24" s="43" t="s">
        <v>10</v>
      </c>
      <c r="B24" s="43" t="s">
        <v>64</v>
      </c>
      <c r="C24" s="84"/>
      <c r="D24" s="43" t="s">
        <v>13</v>
      </c>
      <c r="E24" s="43" t="s">
        <v>14</v>
      </c>
      <c r="F24" s="43" t="s">
        <v>32</v>
      </c>
      <c r="G24" s="43" t="s">
        <v>16</v>
      </c>
      <c r="H24" s="43" t="s">
        <v>65</v>
      </c>
      <c r="I24" s="85"/>
      <c r="J24" s="43" t="s">
        <v>19</v>
      </c>
    </row>
    <row r="25">
      <c r="A25" s="75">
        <v>1.0</v>
      </c>
      <c r="B25" s="75" t="s">
        <v>203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3500.0</v>
      </c>
      <c r="I25" s="88"/>
      <c r="J25" s="39">
        <f t="shared" ref="J25:J28" si="3">D25*H25</f>
        <v>3500</v>
      </c>
    </row>
    <row r="26">
      <c r="A26" s="75">
        <v>2.0</v>
      </c>
      <c r="B26" s="75" t="s">
        <v>205</v>
      </c>
      <c r="C26" s="86"/>
      <c r="D26" s="87">
        <v>1.0</v>
      </c>
      <c r="E26" s="75" t="s">
        <v>47</v>
      </c>
      <c r="F26" s="86"/>
      <c r="G26" s="75" t="s">
        <v>68</v>
      </c>
      <c r="H26" s="81">
        <v>18000.0</v>
      </c>
      <c r="I26" s="88"/>
      <c r="J26" s="39">
        <f t="shared" si="3"/>
        <v>18000</v>
      </c>
    </row>
    <row r="27">
      <c r="A27" s="75">
        <v>3.0</v>
      </c>
      <c r="B27" s="75" t="s">
        <v>206</v>
      </c>
      <c r="C27" s="86"/>
      <c r="D27" s="87">
        <v>1.0</v>
      </c>
      <c r="E27" s="75" t="s">
        <v>47</v>
      </c>
      <c r="F27" s="89"/>
      <c r="G27" s="75" t="s">
        <v>68</v>
      </c>
      <c r="H27" s="81">
        <v>3000.0</v>
      </c>
      <c r="I27" s="88"/>
      <c r="J27" s="39">
        <f t="shared" si="3"/>
        <v>3000</v>
      </c>
    </row>
    <row r="28">
      <c r="A28" s="75">
        <v>4.0</v>
      </c>
      <c r="B28" s="75" t="s">
        <v>141</v>
      </c>
      <c r="C28" s="86"/>
      <c r="D28" s="87">
        <v>7.0</v>
      </c>
      <c r="E28" s="75" t="s">
        <v>47</v>
      </c>
      <c r="F28" s="89"/>
      <c r="G28" s="75" t="s">
        <v>68</v>
      </c>
      <c r="H28" s="81">
        <v>300.0</v>
      </c>
      <c r="I28" s="88"/>
      <c r="J28" s="39">
        <f t="shared" si="3"/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7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216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52500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23382.3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24500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100382.3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191</v>
      </c>
      <c r="C10" s="75" t="s">
        <v>21</v>
      </c>
      <c r="D10" s="77">
        <v>1.5</v>
      </c>
      <c r="E10" s="75" t="s">
        <v>128</v>
      </c>
      <c r="F10" s="78" t="s">
        <v>217</v>
      </c>
      <c r="G10" s="75" t="s">
        <v>193</v>
      </c>
      <c r="H10" s="79">
        <v>35000.0</v>
      </c>
      <c r="I10" s="81">
        <v>30000.0</v>
      </c>
      <c r="J10" s="39">
        <f t="shared" ref="J10:J11" si="1">D10*H10</f>
        <v>52500</v>
      </c>
    </row>
    <row r="11">
      <c r="A11" s="75">
        <v>2.0</v>
      </c>
      <c r="B11" s="76" t="s">
        <v>195</v>
      </c>
      <c r="C11" s="75"/>
      <c r="D11" s="77"/>
      <c r="E11" s="75"/>
      <c r="F11" s="78"/>
      <c r="G11" s="75"/>
      <c r="H11" s="79"/>
      <c r="I11" s="80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1/50</f>
        <v>0.02</v>
      </c>
      <c r="E14" s="75" t="s">
        <v>35</v>
      </c>
      <c r="F14" s="75" t="s">
        <v>196</v>
      </c>
      <c r="G14" s="75" t="s">
        <v>38</v>
      </c>
      <c r="H14" s="81">
        <v>25000.0</v>
      </c>
      <c r="I14" s="80"/>
      <c r="J14" s="39">
        <f t="shared" ref="J14:J22" si="2">D14*H14</f>
        <v>500</v>
      </c>
    </row>
    <row r="15">
      <c r="A15" s="75">
        <v>2.0</v>
      </c>
      <c r="B15" s="76" t="s">
        <v>39</v>
      </c>
      <c r="C15" s="75" t="s">
        <v>21</v>
      </c>
      <c r="D15" s="77">
        <f>4/50</f>
        <v>0.08</v>
      </c>
      <c r="E15" s="75" t="s">
        <v>40</v>
      </c>
      <c r="F15" s="75" t="s">
        <v>197</v>
      </c>
      <c r="G15" s="75" t="s">
        <v>38</v>
      </c>
      <c r="H15" s="81">
        <v>13000.0</v>
      </c>
      <c r="I15" s="80"/>
      <c r="J15" s="39">
        <f t="shared" si="2"/>
        <v>1040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1.5/5</f>
        <v>0.3</v>
      </c>
      <c r="E20" s="75" t="s">
        <v>148</v>
      </c>
      <c r="F20" s="75" t="s">
        <v>199</v>
      </c>
      <c r="G20" s="75" t="s">
        <v>38</v>
      </c>
      <c r="H20" s="81">
        <v>4212.0</v>
      </c>
      <c r="I20" s="80"/>
      <c r="J20" s="95">
        <f t="shared" si="2"/>
        <v>1263.6</v>
      </c>
    </row>
    <row r="21">
      <c r="A21" s="75">
        <v>8.0</v>
      </c>
      <c r="B21" s="76" t="s">
        <v>161</v>
      </c>
      <c r="C21" s="75" t="s">
        <v>162</v>
      </c>
      <c r="D21" s="83">
        <v>1.0</v>
      </c>
      <c r="E21" s="75" t="s">
        <v>47</v>
      </c>
      <c r="F21" s="75"/>
      <c r="G21" s="75" t="s">
        <v>163</v>
      </c>
      <c r="H21" s="81">
        <v>20000.0</v>
      </c>
      <c r="I21" s="80"/>
      <c r="J21" s="39">
        <f t="shared" si="2"/>
        <v>20000</v>
      </c>
    </row>
    <row r="22">
      <c r="A22" s="75">
        <v>9.0</v>
      </c>
      <c r="B22" s="76" t="s">
        <v>200</v>
      </c>
      <c r="C22" s="75" t="s">
        <v>201</v>
      </c>
      <c r="D22" s="107">
        <f>(1/144)*7</f>
        <v>0.04861111111</v>
      </c>
      <c r="E22" s="75" t="s">
        <v>47</v>
      </c>
      <c r="F22" s="75" t="s">
        <v>202</v>
      </c>
      <c r="G22" s="75">
        <v>1001.0</v>
      </c>
      <c r="H22" s="81">
        <v>6000.0</v>
      </c>
      <c r="I22" s="75">
        <v>6000.0</v>
      </c>
      <c r="J22" s="39">
        <f t="shared" si="2"/>
        <v>291.6666667</v>
      </c>
    </row>
    <row r="23">
      <c r="A23" s="42" t="s">
        <v>63</v>
      </c>
      <c r="J23" s="42"/>
    </row>
    <row r="24">
      <c r="A24" s="43" t="s">
        <v>10</v>
      </c>
      <c r="B24" s="43" t="s">
        <v>64</v>
      </c>
      <c r="C24" s="84"/>
      <c r="D24" s="43" t="s">
        <v>13</v>
      </c>
      <c r="E24" s="43" t="s">
        <v>14</v>
      </c>
      <c r="F24" s="43" t="s">
        <v>32</v>
      </c>
      <c r="G24" s="43" t="s">
        <v>16</v>
      </c>
      <c r="H24" s="43" t="s">
        <v>65</v>
      </c>
      <c r="I24" s="85"/>
      <c r="J24" s="43" t="s">
        <v>19</v>
      </c>
    </row>
    <row r="25">
      <c r="A25" s="75">
        <v>1.0</v>
      </c>
      <c r="B25" s="75" t="s">
        <v>203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3500.0</v>
      </c>
      <c r="I25" s="88"/>
      <c r="J25" s="39">
        <f t="shared" ref="J25:J28" si="3">D25*H25</f>
        <v>3500</v>
      </c>
    </row>
    <row r="26">
      <c r="A26" s="75">
        <v>2.0</v>
      </c>
      <c r="B26" s="75" t="s">
        <v>205</v>
      </c>
      <c r="C26" s="86"/>
      <c r="D26" s="87">
        <v>1.0</v>
      </c>
      <c r="E26" s="75" t="s">
        <v>47</v>
      </c>
      <c r="F26" s="86"/>
      <c r="G26" s="75" t="s">
        <v>68</v>
      </c>
      <c r="H26" s="81">
        <v>18000.0</v>
      </c>
      <c r="I26" s="88"/>
      <c r="J26" s="39">
        <f t="shared" si="3"/>
        <v>18000</v>
      </c>
    </row>
    <row r="27">
      <c r="A27" s="75">
        <v>3.0</v>
      </c>
      <c r="B27" s="75" t="s">
        <v>206</v>
      </c>
      <c r="C27" s="86"/>
      <c r="D27" s="87">
        <v>1.0</v>
      </c>
      <c r="E27" s="75" t="s">
        <v>47</v>
      </c>
      <c r="F27" s="89"/>
      <c r="G27" s="75" t="s">
        <v>68</v>
      </c>
      <c r="H27" s="81">
        <v>3000.0</v>
      </c>
      <c r="I27" s="88"/>
      <c r="J27" s="39">
        <f t="shared" si="3"/>
        <v>3000</v>
      </c>
    </row>
    <row r="28">
      <c r="A28" s="75">
        <v>4.0</v>
      </c>
      <c r="B28" s="75" t="s">
        <v>141</v>
      </c>
      <c r="C28" s="86"/>
      <c r="D28" s="87">
        <v>7.0</v>
      </c>
      <c r="E28" s="75" t="s">
        <v>47</v>
      </c>
      <c r="F28" s="89"/>
      <c r="G28" s="75" t="s">
        <v>68</v>
      </c>
      <c r="H28" s="81">
        <v>300.0</v>
      </c>
      <c r="I28" s="88"/>
      <c r="J28" s="39">
        <f t="shared" si="3"/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218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60000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13382.3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24500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97882.3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19">
        <v>1.0</v>
      </c>
      <c r="B10" s="101" t="s">
        <v>219</v>
      </c>
      <c r="C10" s="19" t="s">
        <v>21</v>
      </c>
      <c r="D10" s="21">
        <v>1.5</v>
      </c>
      <c r="E10" s="19" t="s">
        <v>128</v>
      </c>
      <c r="F10" s="44" t="s">
        <v>217</v>
      </c>
      <c r="G10" s="19" t="s">
        <v>193</v>
      </c>
      <c r="H10" s="103">
        <v>40000.0</v>
      </c>
      <c r="I10" s="109">
        <v>36000.0</v>
      </c>
      <c r="J10" s="23">
        <f t="shared" ref="J10:J11" si="1">D10*H10</f>
        <v>60000</v>
      </c>
    </row>
    <row r="11">
      <c r="A11" s="19">
        <v>2.0</v>
      </c>
      <c r="B11" s="20" t="s">
        <v>195</v>
      </c>
      <c r="C11" s="20"/>
      <c r="D11" s="56"/>
      <c r="E11" s="20"/>
      <c r="F11" s="53"/>
      <c r="G11" s="20"/>
      <c r="H11" s="57"/>
      <c r="I11" s="24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1/50</f>
        <v>0.02</v>
      </c>
      <c r="E14" s="19" t="s">
        <v>35</v>
      </c>
      <c r="F14" s="19" t="s">
        <v>196</v>
      </c>
      <c r="G14" s="19" t="s">
        <v>38</v>
      </c>
      <c r="H14" s="22">
        <v>25000.0</v>
      </c>
      <c r="I14" s="24"/>
      <c r="J14" s="23">
        <f t="shared" ref="J14:J22" si="2">D14*H14</f>
        <v>500</v>
      </c>
    </row>
    <row r="15">
      <c r="A15" s="19">
        <v>2.0</v>
      </c>
      <c r="B15" s="20" t="s">
        <v>39</v>
      </c>
      <c r="C15" s="19" t="s">
        <v>21</v>
      </c>
      <c r="D15" s="21">
        <f>4/50</f>
        <v>0.08</v>
      </c>
      <c r="E15" s="19" t="s">
        <v>40</v>
      </c>
      <c r="F15" s="19" t="s">
        <v>197</v>
      </c>
      <c r="G15" s="19" t="s">
        <v>38</v>
      </c>
      <c r="H15" s="22">
        <v>13000.0</v>
      </c>
      <c r="I15" s="24"/>
      <c r="J15" s="23">
        <f t="shared" si="2"/>
        <v>1040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198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147</v>
      </c>
      <c r="C20" s="19" t="s">
        <v>54</v>
      </c>
      <c r="D20" s="104">
        <f>1.5/5</f>
        <v>0.3</v>
      </c>
      <c r="E20" s="19" t="s">
        <v>148</v>
      </c>
      <c r="F20" s="19" t="s">
        <v>199</v>
      </c>
      <c r="G20" s="19" t="s">
        <v>38</v>
      </c>
      <c r="H20" s="22">
        <v>4212.0</v>
      </c>
      <c r="I20" s="24"/>
      <c r="J20" s="105">
        <f t="shared" si="2"/>
        <v>1263.6</v>
      </c>
    </row>
    <row r="21">
      <c r="A21" s="19">
        <v>8.0</v>
      </c>
      <c r="B21" s="20" t="s">
        <v>161</v>
      </c>
      <c r="C21" s="19" t="s">
        <v>162</v>
      </c>
      <c r="D21" s="28">
        <v>1.0</v>
      </c>
      <c r="E21" s="19" t="s">
        <v>47</v>
      </c>
      <c r="F21" s="20"/>
      <c r="G21" s="19" t="s">
        <v>163</v>
      </c>
      <c r="H21" s="22">
        <v>10000.0</v>
      </c>
      <c r="I21" s="24"/>
      <c r="J21" s="23">
        <f t="shared" si="2"/>
        <v>10000</v>
      </c>
    </row>
    <row r="22">
      <c r="A22" s="19">
        <v>9.0</v>
      </c>
      <c r="B22" s="20" t="s">
        <v>200</v>
      </c>
      <c r="C22" s="19" t="s">
        <v>201</v>
      </c>
      <c r="D22" s="108">
        <f>(1/144)*7</f>
        <v>0.04861111111</v>
      </c>
      <c r="E22" s="19" t="s">
        <v>47</v>
      </c>
      <c r="F22" s="19" t="s">
        <v>202</v>
      </c>
      <c r="G22" s="19">
        <v>1001.0</v>
      </c>
      <c r="H22" s="22">
        <v>6000.0</v>
      </c>
      <c r="I22" s="19">
        <v>6000.0</v>
      </c>
      <c r="J22" s="23">
        <f t="shared" si="2"/>
        <v>291.6666667</v>
      </c>
    </row>
    <row r="23">
      <c r="A23" s="29" t="s">
        <v>63</v>
      </c>
      <c r="J23" s="30"/>
    </row>
    <row r="24">
      <c r="A24" s="31" t="s">
        <v>10</v>
      </c>
      <c r="B24" s="31" t="s">
        <v>64</v>
      </c>
      <c r="C24" s="32"/>
      <c r="D24" s="48" t="s">
        <v>13</v>
      </c>
      <c r="E24" s="31" t="s">
        <v>14</v>
      </c>
      <c r="F24" s="49" t="s">
        <v>32</v>
      </c>
      <c r="G24" s="31" t="s">
        <v>16</v>
      </c>
      <c r="H24" s="50" t="s">
        <v>65</v>
      </c>
      <c r="I24" s="32"/>
      <c r="J24" s="31" t="s">
        <v>19</v>
      </c>
    </row>
    <row r="25">
      <c r="A25" s="19">
        <v>1.0</v>
      </c>
      <c r="B25" s="19" t="s">
        <v>203</v>
      </c>
      <c r="C25" s="33"/>
      <c r="D25" s="34">
        <v>1.0</v>
      </c>
      <c r="E25" s="19" t="s">
        <v>47</v>
      </c>
      <c r="F25" s="33"/>
      <c r="G25" s="19" t="s">
        <v>68</v>
      </c>
      <c r="H25" s="22">
        <v>3500.0</v>
      </c>
      <c r="I25" s="33"/>
      <c r="J25" s="23">
        <f t="shared" ref="J25:J28" si="3">D25*H25</f>
        <v>3500</v>
      </c>
    </row>
    <row r="26">
      <c r="A26" s="19">
        <v>2.0</v>
      </c>
      <c r="B26" s="19" t="s">
        <v>205</v>
      </c>
      <c r="C26" s="33"/>
      <c r="D26" s="34">
        <v>1.0</v>
      </c>
      <c r="E26" s="19" t="s">
        <v>47</v>
      </c>
      <c r="F26" s="35"/>
      <c r="G26" s="19" t="s">
        <v>68</v>
      </c>
      <c r="H26" s="22">
        <v>18000.0</v>
      </c>
      <c r="I26" s="33"/>
      <c r="J26" s="23">
        <f t="shared" si="3"/>
        <v>18000</v>
      </c>
    </row>
    <row r="27">
      <c r="A27" s="19">
        <v>3.0</v>
      </c>
      <c r="B27" s="19" t="s">
        <v>206</v>
      </c>
      <c r="C27" s="33"/>
      <c r="D27" s="34">
        <v>1.0</v>
      </c>
      <c r="E27" s="19" t="s">
        <v>47</v>
      </c>
      <c r="F27" s="35"/>
      <c r="G27" s="19" t="s">
        <v>68</v>
      </c>
      <c r="H27" s="22">
        <v>3000.0</v>
      </c>
      <c r="I27" s="33"/>
      <c r="J27" s="23">
        <f t="shared" si="3"/>
        <v>3000</v>
      </c>
    </row>
    <row r="28">
      <c r="A28" s="19">
        <v>4.0</v>
      </c>
      <c r="B28" s="19" t="s">
        <v>141</v>
      </c>
      <c r="C28" s="33"/>
      <c r="D28" s="34">
        <v>7.0</v>
      </c>
      <c r="E28" s="19" t="s">
        <v>47</v>
      </c>
      <c r="F28" s="35"/>
      <c r="G28" s="19" t="s">
        <v>68</v>
      </c>
      <c r="H28" s="22">
        <v>300.0</v>
      </c>
      <c r="I28" s="33"/>
      <c r="J28" s="23">
        <f t="shared" si="3"/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218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60000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13382.3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24500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97882.3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19">
        <v>1.0</v>
      </c>
      <c r="B10" s="101" t="s">
        <v>219</v>
      </c>
      <c r="C10" s="19" t="s">
        <v>21</v>
      </c>
      <c r="D10" s="21">
        <v>1.5</v>
      </c>
      <c r="E10" s="19" t="s">
        <v>128</v>
      </c>
      <c r="F10" s="44" t="s">
        <v>217</v>
      </c>
      <c r="G10" s="19" t="s">
        <v>193</v>
      </c>
      <c r="H10" s="103">
        <v>40000.0</v>
      </c>
      <c r="I10" s="109">
        <v>36000.0</v>
      </c>
      <c r="J10" s="23">
        <f t="shared" ref="J10:J11" si="1">D10*H10</f>
        <v>60000</v>
      </c>
    </row>
    <row r="11">
      <c r="A11" s="19">
        <v>2.0</v>
      </c>
      <c r="B11" s="20" t="s">
        <v>195</v>
      </c>
      <c r="C11" s="20"/>
      <c r="D11" s="56"/>
      <c r="E11" s="20"/>
      <c r="F11" s="53"/>
      <c r="G11" s="20"/>
      <c r="H11" s="57"/>
      <c r="I11" s="24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1/50</f>
        <v>0.02</v>
      </c>
      <c r="E14" s="19" t="s">
        <v>35</v>
      </c>
      <c r="F14" s="19" t="s">
        <v>196</v>
      </c>
      <c r="G14" s="19" t="s">
        <v>38</v>
      </c>
      <c r="H14" s="22">
        <v>25000.0</v>
      </c>
      <c r="I14" s="24"/>
      <c r="J14" s="23">
        <f t="shared" ref="J14:J22" si="2">D14*H14</f>
        <v>500</v>
      </c>
    </row>
    <row r="15">
      <c r="A15" s="19">
        <v>2.0</v>
      </c>
      <c r="B15" s="20" t="s">
        <v>39</v>
      </c>
      <c r="C15" s="19" t="s">
        <v>21</v>
      </c>
      <c r="D15" s="21">
        <f>4/50</f>
        <v>0.08</v>
      </c>
      <c r="E15" s="19" t="s">
        <v>40</v>
      </c>
      <c r="F15" s="19" t="s">
        <v>197</v>
      </c>
      <c r="G15" s="19" t="s">
        <v>38</v>
      </c>
      <c r="H15" s="22">
        <v>13000.0</v>
      </c>
      <c r="I15" s="24"/>
      <c r="J15" s="23">
        <f t="shared" si="2"/>
        <v>1040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198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147</v>
      </c>
      <c r="C20" s="19" t="s">
        <v>54</v>
      </c>
      <c r="D20" s="104">
        <f>1.5/5</f>
        <v>0.3</v>
      </c>
      <c r="E20" s="19" t="s">
        <v>148</v>
      </c>
      <c r="F20" s="19" t="s">
        <v>199</v>
      </c>
      <c r="G20" s="19" t="s">
        <v>38</v>
      </c>
      <c r="H20" s="22">
        <v>4212.0</v>
      </c>
      <c r="I20" s="24"/>
      <c r="J20" s="105">
        <f t="shared" si="2"/>
        <v>1263.6</v>
      </c>
    </row>
    <row r="21">
      <c r="A21" s="19">
        <v>8.0</v>
      </c>
      <c r="B21" s="20" t="s">
        <v>161</v>
      </c>
      <c r="C21" s="19" t="s">
        <v>162</v>
      </c>
      <c r="D21" s="28">
        <v>1.0</v>
      </c>
      <c r="E21" s="19" t="s">
        <v>47</v>
      </c>
      <c r="F21" s="20"/>
      <c r="G21" s="19" t="s">
        <v>163</v>
      </c>
      <c r="H21" s="22">
        <v>10000.0</v>
      </c>
      <c r="I21" s="24"/>
      <c r="J21" s="23">
        <f t="shared" si="2"/>
        <v>10000</v>
      </c>
    </row>
    <row r="22">
      <c r="A22" s="19">
        <v>9.0</v>
      </c>
      <c r="B22" s="20" t="s">
        <v>200</v>
      </c>
      <c r="C22" s="19" t="s">
        <v>201</v>
      </c>
      <c r="D22" s="108">
        <f>(1/144)*7</f>
        <v>0.04861111111</v>
      </c>
      <c r="E22" s="19" t="s">
        <v>47</v>
      </c>
      <c r="F22" s="19" t="s">
        <v>202</v>
      </c>
      <c r="G22" s="19">
        <v>1001.0</v>
      </c>
      <c r="H22" s="22">
        <v>6000.0</v>
      </c>
      <c r="I22" s="19">
        <v>6000.0</v>
      </c>
      <c r="J22" s="23">
        <f t="shared" si="2"/>
        <v>291.6666667</v>
      </c>
    </row>
    <row r="23">
      <c r="A23" s="29" t="s">
        <v>63</v>
      </c>
      <c r="J23" s="30"/>
    </row>
    <row r="24">
      <c r="A24" s="31" t="s">
        <v>10</v>
      </c>
      <c r="B24" s="31" t="s">
        <v>64</v>
      </c>
      <c r="C24" s="32"/>
      <c r="D24" s="48" t="s">
        <v>13</v>
      </c>
      <c r="E24" s="31" t="s">
        <v>14</v>
      </c>
      <c r="F24" s="49" t="s">
        <v>32</v>
      </c>
      <c r="G24" s="31" t="s">
        <v>16</v>
      </c>
      <c r="H24" s="50" t="s">
        <v>65</v>
      </c>
      <c r="I24" s="32"/>
      <c r="J24" s="31" t="s">
        <v>19</v>
      </c>
    </row>
    <row r="25">
      <c r="A25" s="19">
        <v>1.0</v>
      </c>
      <c r="B25" s="19" t="s">
        <v>203</v>
      </c>
      <c r="C25" s="33"/>
      <c r="D25" s="34">
        <v>1.0</v>
      </c>
      <c r="E25" s="19" t="s">
        <v>47</v>
      </c>
      <c r="F25" s="33"/>
      <c r="G25" s="19" t="s">
        <v>68</v>
      </c>
      <c r="H25" s="22">
        <v>3500.0</v>
      </c>
      <c r="I25" s="33"/>
      <c r="J25" s="23">
        <f t="shared" ref="J25:J28" si="3">D25*H25</f>
        <v>3500</v>
      </c>
    </row>
    <row r="26">
      <c r="A26" s="19">
        <v>2.0</v>
      </c>
      <c r="B26" s="19" t="s">
        <v>205</v>
      </c>
      <c r="C26" s="33"/>
      <c r="D26" s="34">
        <v>1.0</v>
      </c>
      <c r="E26" s="19" t="s">
        <v>47</v>
      </c>
      <c r="F26" s="35"/>
      <c r="G26" s="19" t="s">
        <v>68</v>
      </c>
      <c r="H26" s="22">
        <v>18000.0</v>
      </c>
      <c r="I26" s="33"/>
      <c r="J26" s="23">
        <f t="shared" si="3"/>
        <v>18000</v>
      </c>
    </row>
    <row r="27">
      <c r="A27" s="19">
        <v>3.0</v>
      </c>
      <c r="B27" s="19" t="s">
        <v>206</v>
      </c>
      <c r="C27" s="33"/>
      <c r="D27" s="34">
        <v>1.0</v>
      </c>
      <c r="E27" s="19" t="s">
        <v>47</v>
      </c>
      <c r="F27" s="35"/>
      <c r="G27" s="19" t="s">
        <v>68</v>
      </c>
      <c r="H27" s="22">
        <v>3000.0</v>
      </c>
      <c r="I27" s="33"/>
      <c r="J27" s="23">
        <f t="shared" si="3"/>
        <v>3000</v>
      </c>
    </row>
    <row r="28">
      <c r="A28" s="19">
        <v>4.0</v>
      </c>
      <c r="B28" s="19" t="s">
        <v>141</v>
      </c>
      <c r="C28" s="33"/>
      <c r="D28" s="34">
        <v>7.0</v>
      </c>
      <c r="E28" s="19" t="s">
        <v>47</v>
      </c>
      <c r="F28" s="35"/>
      <c r="G28" s="19" t="s">
        <v>68</v>
      </c>
      <c r="H28" s="22">
        <v>300.0</v>
      </c>
      <c r="I28" s="33"/>
      <c r="J28" s="23">
        <f t="shared" si="3"/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220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7">
        <f>SUM(J10:J11)</f>
        <v>63000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98">
        <f>SUM(J14:J21)</f>
        <v>13382.3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99">
        <f>SUM(J24:J27)</f>
        <v>24500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00">
        <f>SUM(C3:D5)</f>
        <v>100882.3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210</v>
      </c>
      <c r="C10" s="19" t="s">
        <v>21</v>
      </c>
      <c r="D10" s="21">
        <v>1.5</v>
      </c>
      <c r="E10" s="19" t="s">
        <v>128</v>
      </c>
      <c r="F10" s="44" t="s">
        <v>217</v>
      </c>
      <c r="G10" s="19" t="s">
        <v>211</v>
      </c>
      <c r="H10" s="52">
        <v>42000.0</v>
      </c>
      <c r="I10" s="22">
        <v>38000.0</v>
      </c>
      <c r="J10" s="23">
        <f t="shared" ref="J10:J11" si="1">D10*H10</f>
        <v>63000</v>
      </c>
    </row>
    <row r="11">
      <c r="A11" s="19">
        <v>2.0</v>
      </c>
      <c r="B11" s="20" t="s">
        <v>195</v>
      </c>
      <c r="C11" s="20"/>
      <c r="D11" s="56"/>
      <c r="E11" s="20"/>
      <c r="F11" s="53"/>
      <c r="G11" s="20"/>
      <c r="H11" s="57"/>
      <c r="I11" s="24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1/50</f>
        <v>0.02</v>
      </c>
      <c r="E14" s="19" t="s">
        <v>35</v>
      </c>
      <c r="F14" s="19" t="s">
        <v>196</v>
      </c>
      <c r="G14" s="19" t="s">
        <v>38</v>
      </c>
      <c r="H14" s="22">
        <v>25000.0</v>
      </c>
      <c r="I14" s="24"/>
      <c r="J14" s="23">
        <f t="shared" ref="J14:J22" si="2">D14*H14</f>
        <v>500</v>
      </c>
    </row>
    <row r="15">
      <c r="A15" s="19">
        <v>2.0</v>
      </c>
      <c r="B15" s="20" t="s">
        <v>39</v>
      </c>
      <c r="C15" s="19" t="s">
        <v>21</v>
      </c>
      <c r="D15" s="21">
        <f>4/50</f>
        <v>0.08</v>
      </c>
      <c r="E15" s="19" t="s">
        <v>40</v>
      </c>
      <c r="F15" s="19" t="s">
        <v>197</v>
      </c>
      <c r="G15" s="19" t="s">
        <v>38</v>
      </c>
      <c r="H15" s="22">
        <v>13000.0</v>
      </c>
      <c r="I15" s="24"/>
      <c r="J15" s="23">
        <f t="shared" si="2"/>
        <v>1040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198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147</v>
      </c>
      <c r="C20" s="19" t="s">
        <v>54</v>
      </c>
      <c r="D20" s="104">
        <f>1.5/5</f>
        <v>0.3</v>
      </c>
      <c r="E20" s="19" t="s">
        <v>148</v>
      </c>
      <c r="F20" s="19" t="s">
        <v>199</v>
      </c>
      <c r="G20" s="19" t="s">
        <v>38</v>
      </c>
      <c r="H20" s="22">
        <v>4212.0</v>
      </c>
      <c r="I20" s="24"/>
      <c r="J20" s="105">
        <f t="shared" si="2"/>
        <v>1263.6</v>
      </c>
    </row>
    <row r="21">
      <c r="A21" s="19">
        <v>8.0</v>
      </c>
      <c r="B21" s="20" t="s">
        <v>161</v>
      </c>
      <c r="C21" s="19" t="s">
        <v>162</v>
      </c>
      <c r="D21" s="28">
        <v>1.0</v>
      </c>
      <c r="E21" s="19" t="s">
        <v>47</v>
      </c>
      <c r="F21" s="20"/>
      <c r="G21" s="19" t="s">
        <v>163</v>
      </c>
      <c r="H21" s="22">
        <v>10000.0</v>
      </c>
      <c r="I21" s="24"/>
      <c r="J21" s="23">
        <f t="shared" si="2"/>
        <v>10000</v>
      </c>
    </row>
    <row r="22">
      <c r="A22" s="19">
        <v>9.0</v>
      </c>
      <c r="B22" s="20" t="s">
        <v>200</v>
      </c>
      <c r="C22" s="19" t="s">
        <v>201</v>
      </c>
      <c r="D22" s="108">
        <f>(1/144)*7</f>
        <v>0.04861111111</v>
      </c>
      <c r="E22" s="19" t="s">
        <v>47</v>
      </c>
      <c r="F22" s="19" t="s">
        <v>202</v>
      </c>
      <c r="G22" s="19">
        <v>1001.0</v>
      </c>
      <c r="H22" s="22">
        <v>6000.0</v>
      </c>
      <c r="I22" s="19">
        <v>6000.0</v>
      </c>
      <c r="J22" s="23">
        <f t="shared" si="2"/>
        <v>291.6666667</v>
      </c>
    </row>
    <row r="23">
      <c r="A23" s="29" t="s">
        <v>63</v>
      </c>
      <c r="J23" s="30"/>
    </row>
    <row r="24">
      <c r="A24" s="31" t="s">
        <v>10</v>
      </c>
      <c r="B24" s="31" t="s">
        <v>64</v>
      </c>
      <c r="C24" s="32"/>
      <c r="D24" s="48" t="s">
        <v>13</v>
      </c>
      <c r="E24" s="31" t="s">
        <v>14</v>
      </c>
      <c r="F24" s="49" t="s">
        <v>32</v>
      </c>
      <c r="G24" s="31" t="s">
        <v>16</v>
      </c>
      <c r="H24" s="50" t="s">
        <v>65</v>
      </c>
      <c r="I24" s="32"/>
      <c r="J24" s="31" t="s">
        <v>19</v>
      </c>
    </row>
    <row r="25">
      <c r="A25" s="19">
        <v>1.0</v>
      </c>
      <c r="B25" s="19" t="s">
        <v>203</v>
      </c>
      <c r="C25" s="33"/>
      <c r="D25" s="34">
        <v>1.0</v>
      </c>
      <c r="E25" s="19" t="s">
        <v>47</v>
      </c>
      <c r="F25" s="33"/>
      <c r="G25" s="19" t="s">
        <v>68</v>
      </c>
      <c r="H25" s="22">
        <v>3500.0</v>
      </c>
      <c r="I25" s="33"/>
      <c r="J25" s="23">
        <f t="shared" ref="J25:J28" si="3">D25*H25</f>
        <v>3500</v>
      </c>
    </row>
    <row r="26">
      <c r="A26" s="19">
        <v>2.0</v>
      </c>
      <c r="B26" s="19" t="s">
        <v>205</v>
      </c>
      <c r="C26" s="33"/>
      <c r="D26" s="34">
        <v>1.0</v>
      </c>
      <c r="E26" s="19" t="s">
        <v>47</v>
      </c>
      <c r="F26" s="35"/>
      <c r="G26" s="19" t="s">
        <v>68</v>
      </c>
      <c r="H26" s="22">
        <v>18000.0</v>
      </c>
      <c r="I26" s="33"/>
      <c r="J26" s="23">
        <f t="shared" si="3"/>
        <v>18000</v>
      </c>
    </row>
    <row r="27">
      <c r="A27" s="19">
        <v>3.0</v>
      </c>
      <c r="B27" s="19" t="s">
        <v>206</v>
      </c>
      <c r="C27" s="33"/>
      <c r="D27" s="34">
        <v>1.0</v>
      </c>
      <c r="E27" s="19" t="s">
        <v>47</v>
      </c>
      <c r="F27" s="35"/>
      <c r="G27" s="19" t="s">
        <v>68</v>
      </c>
      <c r="H27" s="22">
        <v>3000.0</v>
      </c>
      <c r="I27" s="33"/>
      <c r="J27" s="23">
        <f t="shared" si="3"/>
        <v>3000</v>
      </c>
    </row>
    <row r="28">
      <c r="A28" s="19">
        <v>4.0</v>
      </c>
      <c r="B28" s="19" t="s">
        <v>141</v>
      </c>
      <c r="C28" s="33"/>
      <c r="D28" s="34">
        <v>7.0</v>
      </c>
      <c r="E28" s="19" t="s">
        <v>47</v>
      </c>
      <c r="F28" s="35"/>
      <c r="G28" s="19" t="s">
        <v>68</v>
      </c>
      <c r="H28" s="22">
        <v>300.0</v>
      </c>
      <c r="I28" s="33"/>
      <c r="J28" s="23">
        <f t="shared" si="3"/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13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221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63000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23382.3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24500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110882.3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19">
        <v>1.0</v>
      </c>
      <c r="B10" s="101" t="s">
        <v>210</v>
      </c>
      <c r="C10" s="19" t="s">
        <v>21</v>
      </c>
      <c r="D10" s="21">
        <v>1.5</v>
      </c>
      <c r="E10" s="19" t="s">
        <v>128</v>
      </c>
      <c r="F10" s="44" t="s">
        <v>217</v>
      </c>
      <c r="G10" s="102" t="s">
        <v>211</v>
      </c>
      <c r="H10" s="103">
        <v>42000.0</v>
      </c>
      <c r="I10" s="109">
        <v>38000.0</v>
      </c>
      <c r="J10" s="23">
        <f t="shared" ref="J10:J11" si="1">D10*H10</f>
        <v>63000</v>
      </c>
    </row>
    <row r="11">
      <c r="A11" s="19">
        <v>2.0</v>
      </c>
      <c r="B11" s="20" t="s">
        <v>195</v>
      </c>
      <c r="C11" s="20"/>
      <c r="D11" s="56"/>
      <c r="E11" s="20"/>
      <c r="F11" s="53"/>
      <c r="G11" s="20"/>
      <c r="H11" s="57"/>
      <c r="I11" s="24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1/50</f>
        <v>0.02</v>
      </c>
      <c r="E14" s="19" t="s">
        <v>35</v>
      </c>
      <c r="F14" s="19" t="s">
        <v>196</v>
      </c>
      <c r="G14" s="19" t="s">
        <v>38</v>
      </c>
      <c r="H14" s="22">
        <v>25000.0</v>
      </c>
      <c r="I14" s="24"/>
      <c r="J14" s="23">
        <f t="shared" ref="J14:J22" si="2">D14*H14</f>
        <v>500</v>
      </c>
    </row>
    <row r="15">
      <c r="A15" s="19">
        <v>2.0</v>
      </c>
      <c r="B15" s="20" t="s">
        <v>39</v>
      </c>
      <c r="C15" s="19" t="s">
        <v>21</v>
      </c>
      <c r="D15" s="21">
        <f>4/50</f>
        <v>0.08</v>
      </c>
      <c r="E15" s="19" t="s">
        <v>40</v>
      </c>
      <c r="F15" s="19" t="s">
        <v>197</v>
      </c>
      <c r="G15" s="19" t="s">
        <v>38</v>
      </c>
      <c r="H15" s="22">
        <v>13000.0</v>
      </c>
      <c r="I15" s="24"/>
      <c r="J15" s="23">
        <f t="shared" si="2"/>
        <v>1040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198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147</v>
      </c>
      <c r="C20" s="19" t="s">
        <v>54</v>
      </c>
      <c r="D20" s="104">
        <f>1.5/5</f>
        <v>0.3</v>
      </c>
      <c r="E20" s="19" t="s">
        <v>148</v>
      </c>
      <c r="F20" s="19" t="s">
        <v>199</v>
      </c>
      <c r="G20" s="19" t="s">
        <v>38</v>
      </c>
      <c r="H20" s="22">
        <v>4212.0</v>
      </c>
      <c r="I20" s="24"/>
      <c r="J20" s="105">
        <f t="shared" si="2"/>
        <v>1263.6</v>
      </c>
    </row>
    <row r="21">
      <c r="A21" s="19">
        <v>8.0</v>
      </c>
      <c r="B21" s="20" t="s">
        <v>161</v>
      </c>
      <c r="C21" s="19" t="s">
        <v>162</v>
      </c>
      <c r="D21" s="28">
        <v>1.0</v>
      </c>
      <c r="E21" s="19" t="s">
        <v>47</v>
      </c>
      <c r="F21" s="20"/>
      <c r="G21" s="19" t="s">
        <v>163</v>
      </c>
      <c r="H21" s="109">
        <v>20000.0</v>
      </c>
      <c r="I21" s="24"/>
      <c r="J21" s="23">
        <f t="shared" si="2"/>
        <v>20000</v>
      </c>
    </row>
    <row r="22">
      <c r="A22" s="19">
        <v>9.0</v>
      </c>
      <c r="B22" s="20" t="s">
        <v>200</v>
      </c>
      <c r="C22" s="19" t="s">
        <v>201</v>
      </c>
      <c r="D22" s="108">
        <f>(1/144)*7</f>
        <v>0.04861111111</v>
      </c>
      <c r="E22" s="19" t="s">
        <v>47</v>
      </c>
      <c r="F22" s="19" t="s">
        <v>202</v>
      </c>
      <c r="G22" s="19">
        <v>1001.0</v>
      </c>
      <c r="H22" s="22">
        <v>6000.0</v>
      </c>
      <c r="I22" s="19">
        <v>6000.0</v>
      </c>
      <c r="J22" s="23">
        <f t="shared" si="2"/>
        <v>291.6666667</v>
      </c>
    </row>
    <row r="23">
      <c r="A23" s="29" t="s">
        <v>63</v>
      </c>
      <c r="J23" s="30"/>
    </row>
    <row r="24">
      <c r="A24" s="31" t="s">
        <v>10</v>
      </c>
      <c r="B24" s="31" t="s">
        <v>64</v>
      </c>
      <c r="C24" s="32"/>
      <c r="D24" s="48" t="s">
        <v>13</v>
      </c>
      <c r="E24" s="31" t="s">
        <v>14</v>
      </c>
      <c r="F24" s="49" t="s">
        <v>32</v>
      </c>
      <c r="G24" s="31" t="s">
        <v>16</v>
      </c>
      <c r="H24" s="50" t="s">
        <v>65</v>
      </c>
      <c r="I24" s="32"/>
      <c r="J24" s="31" t="s">
        <v>19</v>
      </c>
    </row>
    <row r="25">
      <c r="A25" s="19">
        <v>1.0</v>
      </c>
      <c r="B25" s="19" t="s">
        <v>203</v>
      </c>
      <c r="C25" s="33"/>
      <c r="D25" s="34">
        <v>1.0</v>
      </c>
      <c r="E25" s="19" t="s">
        <v>47</v>
      </c>
      <c r="F25" s="33"/>
      <c r="G25" s="19" t="s">
        <v>68</v>
      </c>
      <c r="H25" s="22">
        <v>3500.0</v>
      </c>
      <c r="I25" s="33"/>
      <c r="J25" s="23">
        <f t="shared" ref="J25:J28" si="3">D25*H25</f>
        <v>3500</v>
      </c>
    </row>
    <row r="26">
      <c r="A26" s="19">
        <v>2.0</v>
      </c>
      <c r="B26" s="19" t="s">
        <v>205</v>
      </c>
      <c r="C26" s="33"/>
      <c r="D26" s="34">
        <v>1.0</v>
      </c>
      <c r="E26" s="19" t="s">
        <v>47</v>
      </c>
      <c r="F26" s="35"/>
      <c r="G26" s="19" t="s">
        <v>68</v>
      </c>
      <c r="H26" s="22">
        <v>18000.0</v>
      </c>
      <c r="I26" s="33"/>
      <c r="J26" s="23">
        <f t="shared" si="3"/>
        <v>18000</v>
      </c>
    </row>
    <row r="27">
      <c r="A27" s="19">
        <v>3.0</v>
      </c>
      <c r="B27" s="19" t="s">
        <v>206</v>
      </c>
      <c r="C27" s="33"/>
      <c r="D27" s="34">
        <v>1.0</v>
      </c>
      <c r="E27" s="19" t="s">
        <v>47</v>
      </c>
      <c r="F27" s="35"/>
      <c r="G27" s="19" t="s">
        <v>68</v>
      </c>
      <c r="H27" s="22">
        <v>3000.0</v>
      </c>
      <c r="I27" s="33"/>
      <c r="J27" s="23">
        <f t="shared" si="3"/>
        <v>3000</v>
      </c>
    </row>
    <row r="28">
      <c r="A28" s="19">
        <v>4.0</v>
      </c>
      <c r="B28" s="19" t="s">
        <v>141</v>
      </c>
      <c r="C28" s="33"/>
      <c r="D28" s="34">
        <v>7.0</v>
      </c>
      <c r="E28" s="19" t="s">
        <v>47</v>
      </c>
      <c r="F28" s="35"/>
      <c r="G28" s="19" t="s">
        <v>68</v>
      </c>
      <c r="H28" s="22">
        <v>300.0</v>
      </c>
      <c r="I28" s="33"/>
      <c r="J28" s="23">
        <f t="shared" si="3"/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0.38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222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7">
        <f>SUM(J10:J11)</f>
        <v>75000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98">
        <f>SUM(J14:J21)</f>
        <v>13382.3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99">
        <f>SUM(J24:J27)</f>
        <v>28600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00">
        <f>SUM(C3:D5)</f>
        <v>116982.3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212</v>
      </c>
      <c r="C10" s="19" t="s">
        <v>21</v>
      </c>
      <c r="D10" s="21">
        <v>1.5</v>
      </c>
      <c r="E10" s="19" t="s">
        <v>128</v>
      </c>
      <c r="F10" s="44" t="s">
        <v>217</v>
      </c>
      <c r="G10" s="19" t="s">
        <v>213</v>
      </c>
      <c r="H10" s="52">
        <v>50000.0</v>
      </c>
      <c r="I10" s="22">
        <v>45000.0</v>
      </c>
      <c r="J10" s="23">
        <f t="shared" ref="J10:J11" si="1">D10*H10</f>
        <v>75000</v>
      </c>
    </row>
    <row r="11">
      <c r="A11" s="19">
        <v>2.0</v>
      </c>
      <c r="B11" s="20"/>
      <c r="C11" s="20"/>
      <c r="D11" s="56"/>
      <c r="E11" s="20"/>
      <c r="F11" s="53"/>
      <c r="G11" s="20"/>
      <c r="H11" s="57"/>
      <c r="I11" s="24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1/50</f>
        <v>0.02</v>
      </c>
      <c r="E14" s="19" t="s">
        <v>35</v>
      </c>
      <c r="F14" s="19" t="s">
        <v>196</v>
      </c>
      <c r="G14" s="19" t="s">
        <v>38</v>
      </c>
      <c r="H14" s="22">
        <v>25000.0</v>
      </c>
      <c r="I14" s="24"/>
      <c r="J14" s="23">
        <f t="shared" ref="J14:J21" si="2">D14*H14</f>
        <v>500</v>
      </c>
    </row>
    <row r="15">
      <c r="A15" s="19">
        <v>2.0</v>
      </c>
      <c r="B15" s="20" t="s">
        <v>39</v>
      </c>
      <c r="C15" s="19" t="s">
        <v>21</v>
      </c>
      <c r="D15" s="21">
        <f>4/50</f>
        <v>0.08</v>
      </c>
      <c r="E15" s="19" t="s">
        <v>40</v>
      </c>
      <c r="F15" s="19" t="s">
        <v>197</v>
      </c>
      <c r="G15" s="19" t="s">
        <v>38</v>
      </c>
      <c r="H15" s="22">
        <v>13000.0</v>
      </c>
      <c r="I15" s="24"/>
      <c r="J15" s="23">
        <f t="shared" si="2"/>
        <v>1040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198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147</v>
      </c>
      <c r="C20" s="19" t="s">
        <v>54</v>
      </c>
      <c r="D20" s="104">
        <f>1.5/5</f>
        <v>0.3</v>
      </c>
      <c r="E20" s="19" t="s">
        <v>148</v>
      </c>
      <c r="F20" s="19" t="s">
        <v>199</v>
      </c>
      <c r="G20" s="19" t="s">
        <v>38</v>
      </c>
      <c r="H20" s="22">
        <v>4212.0</v>
      </c>
      <c r="I20" s="24"/>
      <c r="J20" s="105">
        <f t="shared" si="2"/>
        <v>1263.6</v>
      </c>
    </row>
    <row r="21">
      <c r="A21" s="19">
        <v>8.0</v>
      </c>
      <c r="B21" s="20" t="s">
        <v>161</v>
      </c>
      <c r="C21" s="19" t="s">
        <v>162</v>
      </c>
      <c r="D21" s="28">
        <v>1.0</v>
      </c>
      <c r="E21" s="19" t="s">
        <v>47</v>
      </c>
      <c r="F21" s="20"/>
      <c r="G21" s="19" t="s">
        <v>163</v>
      </c>
      <c r="H21" s="22">
        <v>10000.0</v>
      </c>
      <c r="I21" s="24"/>
      <c r="J21" s="23">
        <f t="shared" si="2"/>
        <v>10000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31" t="s">
        <v>13</v>
      </c>
      <c r="E23" s="31" t="s">
        <v>14</v>
      </c>
      <c r="F23" s="31" t="s">
        <v>32</v>
      </c>
      <c r="G23" s="31" t="s">
        <v>16</v>
      </c>
      <c r="H23" s="31" t="s">
        <v>65</v>
      </c>
      <c r="I23" s="32"/>
      <c r="J23" s="31" t="s">
        <v>19</v>
      </c>
    </row>
    <row r="24">
      <c r="A24" s="19">
        <v>1.0</v>
      </c>
      <c r="B24" s="19" t="s">
        <v>203</v>
      </c>
      <c r="C24" s="33"/>
      <c r="D24" s="34">
        <v>1.0</v>
      </c>
      <c r="E24" s="19" t="s">
        <v>47</v>
      </c>
      <c r="F24" s="33"/>
      <c r="G24" s="19" t="s">
        <v>68</v>
      </c>
      <c r="H24" s="22">
        <v>3500.0</v>
      </c>
      <c r="I24" s="33"/>
      <c r="J24" s="23">
        <f>D24*H24</f>
        <v>3500</v>
      </c>
    </row>
    <row r="25">
      <c r="A25" s="19">
        <v>2.0</v>
      </c>
      <c r="B25" s="19" t="s">
        <v>205</v>
      </c>
      <c r="C25" s="33"/>
      <c r="D25" s="34">
        <v>1.0</v>
      </c>
      <c r="E25" s="19" t="s">
        <v>47</v>
      </c>
      <c r="F25" s="33"/>
      <c r="G25" s="19" t="s">
        <v>68</v>
      </c>
      <c r="H25" s="22">
        <v>18000.0</v>
      </c>
      <c r="I25" s="33"/>
      <c r="J25" s="23">
        <v>20000.0</v>
      </c>
    </row>
    <row r="26">
      <c r="A26" s="19">
        <v>3.0</v>
      </c>
      <c r="B26" s="19" t="s">
        <v>206</v>
      </c>
      <c r="C26" s="33"/>
      <c r="D26" s="34">
        <v>1.0</v>
      </c>
      <c r="E26" s="19" t="s">
        <v>47</v>
      </c>
      <c r="F26" s="35"/>
      <c r="G26" s="19" t="s">
        <v>68</v>
      </c>
      <c r="H26" s="22">
        <v>3000.0</v>
      </c>
      <c r="I26" s="33"/>
      <c r="J26" s="23">
        <f t="shared" ref="J26:J27" si="3">D26*H26</f>
        <v>3000</v>
      </c>
    </row>
    <row r="27">
      <c r="A27" s="19">
        <v>4.0</v>
      </c>
      <c r="B27" s="19" t="s">
        <v>141</v>
      </c>
      <c r="C27" s="33"/>
      <c r="D27" s="34">
        <v>7.0</v>
      </c>
      <c r="E27" s="19" t="s">
        <v>47</v>
      </c>
      <c r="F27" s="35"/>
      <c r="G27" s="19" t="s">
        <v>68</v>
      </c>
      <c r="H27" s="22">
        <v>300.0</v>
      </c>
      <c r="I27" s="33"/>
      <c r="J27" s="23">
        <f t="shared" si="3"/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0.38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222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7">
        <f>SUM(J10:J11)</f>
        <v>75000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98">
        <f>SUM(J14:J21)</f>
        <v>23382.3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99">
        <f>SUM(J24:J27)</f>
        <v>28600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00">
        <f>SUM(C3:D5)</f>
        <v>126982.3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212</v>
      </c>
      <c r="C10" s="19" t="s">
        <v>21</v>
      </c>
      <c r="D10" s="21">
        <v>1.5</v>
      </c>
      <c r="E10" s="19" t="s">
        <v>128</v>
      </c>
      <c r="F10" s="44" t="s">
        <v>217</v>
      </c>
      <c r="G10" s="19" t="s">
        <v>213</v>
      </c>
      <c r="H10" s="52">
        <v>50000.0</v>
      </c>
      <c r="I10" s="22">
        <v>45000.0</v>
      </c>
      <c r="J10" s="23">
        <f t="shared" ref="J10:J11" si="1">D10*H10</f>
        <v>75000</v>
      </c>
    </row>
    <row r="11">
      <c r="A11" s="19">
        <v>2.0</v>
      </c>
      <c r="B11" s="20"/>
      <c r="C11" s="20"/>
      <c r="D11" s="56"/>
      <c r="E11" s="20"/>
      <c r="F11" s="53"/>
      <c r="G11" s="20"/>
      <c r="H11" s="57"/>
      <c r="I11" s="24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1/50</f>
        <v>0.02</v>
      </c>
      <c r="E14" s="19" t="s">
        <v>35</v>
      </c>
      <c r="F14" s="19" t="s">
        <v>196</v>
      </c>
      <c r="G14" s="19" t="s">
        <v>38</v>
      </c>
      <c r="H14" s="22">
        <v>25000.0</v>
      </c>
      <c r="I14" s="24"/>
      <c r="J14" s="23">
        <f t="shared" ref="J14:J21" si="2">D14*H14</f>
        <v>500</v>
      </c>
    </row>
    <row r="15">
      <c r="A15" s="19">
        <v>2.0</v>
      </c>
      <c r="B15" s="20" t="s">
        <v>39</v>
      </c>
      <c r="C15" s="19" t="s">
        <v>21</v>
      </c>
      <c r="D15" s="21">
        <f>4/50</f>
        <v>0.08</v>
      </c>
      <c r="E15" s="19" t="s">
        <v>40</v>
      </c>
      <c r="F15" s="19" t="s">
        <v>197</v>
      </c>
      <c r="G15" s="19" t="s">
        <v>38</v>
      </c>
      <c r="H15" s="22">
        <v>13000.0</v>
      </c>
      <c r="I15" s="24"/>
      <c r="J15" s="23">
        <f t="shared" si="2"/>
        <v>1040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198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147</v>
      </c>
      <c r="C20" s="19" t="s">
        <v>54</v>
      </c>
      <c r="D20" s="104">
        <f>1.5/5</f>
        <v>0.3</v>
      </c>
      <c r="E20" s="19" t="s">
        <v>148</v>
      </c>
      <c r="F20" s="19" t="s">
        <v>199</v>
      </c>
      <c r="G20" s="19" t="s">
        <v>38</v>
      </c>
      <c r="H20" s="22">
        <v>4212.0</v>
      </c>
      <c r="I20" s="24"/>
      <c r="J20" s="105">
        <f t="shared" si="2"/>
        <v>1263.6</v>
      </c>
    </row>
    <row r="21">
      <c r="A21" s="19">
        <v>8.0</v>
      </c>
      <c r="B21" s="20" t="s">
        <v>161</v>
      </c>
      <c r="C21" s="19" t="s">
        <v>162</v>
      </c>
      <c r="D21" s="28">
        <v>1.0</v>
      </c>
      <c r="E21" s="19" t="s">
        <v>47</v>
      </c>
      <c r="F21" s="20"/>
      <c r="G21" s="19" t="s">
        <v>163</v>
      </c>
      <c r="H21" s="22">
        <v>20000.0</v>
      </c>
      <c r="I21" s="24"/>
      <c r="J21" s="23">
        <f t="shared" si="2"/>
        <v>20000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31" t="s">
        <v>13</v>
      </c>
      <c r="E23" s="31" t="s">
        <v>14</v>
      </c>
      <c r="F23" s="31" t="s">
        <v>32</v>
      </c>
      <c r="G23" s="31" t="s">
        <v>16</v>
      </c>
      <c r="H23" s="31" t="s">
        <v>65</v>
      </c>
      <c r="I23" s="32"/>
      <c r="J23" s="31" t="s">
        <v>19</v>
      </c>
    </row>
    <row r="24">
      <c r="A24" s="19">
        <v>1.0</v>
      </c>
      <c r="B24" s="19" t="s">
        <v>203</v>
      </c>
      <c r="C24" s="33"/>
      <c r="D24" s="34">
        <v>1.0</v>
      </c>
      <c r="E24" s="19" t="s">
        <v>47</v>
      </c>
      <c r="F24" s="33"/>
      <c r="G24" s="19" t="s">
        <v>68</v>
      </c>
      <c r="H24" s="22">
        <v>3500.0</v>
      </c>
      <c r="I24" s="33"/>
      <c r="J24" s="23">
        <f>D24*H24</f>
        <v>3500</v>
      </c>
    </row>
    <row r="25">
      <c r="A25" s="19">
        <v>2.0</v>
      </c>
      <c r="B25" s="19" t="s">
        <v>205</v>
      </c>
      <c r="C25" s="33"/>
      <c r="D25" s="34">
        <v>1.0</v>
      </c>
      <c r="E25" s="19" t="s">
        <v>47</v>
      </c>
      <c r="F25" s="33"/>
      <c r="G25" s="19" t="s">
        <v>68</v>
      </c>
      <c r="H25" s="22">
        <v>18000.0</v>
      </c>
      <c r="I25" s="33"/>
      <c r="J25" s="23">
        <v>20000.0</v>
      </c>
    </row>
    <row r="26">
      <c r="A26" s="19">
        <v>3.0</v>
      </c>
      <c r="B26" s="19" t="s">
        <v>206</v>
      </c>
      <c r="C26" s="33"/>
      <c r="D26" s="34">
        <v>1.0</v>
      </c>
      <c r="E26" s="19" t="s">
        <v>47</v>
      </c>
      <c r="F26" s="35"/>
      <c r="G26" s="19" t="s">
        <v>68</v>
      </c>
      <c r="H26" s="22">
        <v>3000.0</v>
      </c>
      <c r="I26" s="33"/>
      <c r="J26" s="23">
        <f t="shared" ref="J26:J27" si="3">D26*H26</f>
        <v>3000</v>
      </c>
    </row>
    <row r="27">
      <c r="A27" s="19">
        <v>4.0</v>
      </c>
      <c r="B27" s="19" t="s">
        <v>141</v>
      </c>
      <c r="C27" s="33"/>
      <c r="D27" s="34">
        <v>7.0</v>
      </c>
      <c r="E27" s="19" t="s">
        <v>47</v>
      </c>
      <c r="F27" s="35"/>
      <c r="G27" s="19" t="s">
        <v>68</v>
      </c>
      <c r="H27" s="22">
        <v>300.0</v>
      </c>
      <c r="I27" s="33"/>
      <c r="J27" s="23">
        <f t="shared" si="3"/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223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7">
        <f>SUM(J10:J11)</f>
        <v>31500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98">
        <f>SUM(J14:J21)</f>
        <v>24982.3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99">
        <f>SUM(J24:J27)</f>
        <v>28100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00">
        <f>SUM(C3:D5)</f>
        <v>84582.3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224</v>
      </c>
      <c r="C10" s="19" t="s">
        <v>21</v>
      </c>
      <c r="D10" s="21">
        <v>1.25</v>
      </c>
      <c r="E10" s="19" t="s">
        <v>225</v>
      </c>
      <c r="F10" s="44" t="s">
        <v>226</v>
      </c>
      <c r="G10" s="19" t="s">
        <v>227</v>
      </c>
      <c r="H10" s="52">
        <v>25200.0</v>
      </c>
      <c r="I10" s="62"/>
      <c r="J10" s="23">
        <f t="shared" ref="J10:J11" si="1">D10*H10</f>
        <v>31500</v>
      </c>
    </row>
    <row r="11">
      <c r="A11" s="19">
        <v>2.0</v>
      </c>
      <c r="B11" s="20"/>
      <c r="C11" s="20"/>
      <c r="D11" s="56"/>
      <c r="E11" s="20"/>
      <c r="F11" s="53"/>
      <c r="G11" s="20"/>
      <c r="H11" s="57"/>
      <c r="I11" s="24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1/50</f>
        <v>0.02</v>
      </c>
      <c r="E14" s="19" t="s">
        <v>35</v>
      </c>
      <c r="F14" s="19" t="s">
        <v>196</v>
      </c>
      <c r="G14" s="19" t="s">
        <v>38</v>
      </c>
      <c r="H14" s="22">
        <v>25000.0</v>
      </c>
      <c r="I14" s="24"/>
      <c r="J14" s="23">
        <f t="shared" ref="J14:J21" si="2">D14*H14</f>
        <v>500</v>
      </c>
    </row>
    <row r="15">
      <c r="A15" s="19">
        <v>2.0</v>
      </c>
      <c r="B15" s="20" t="s">
        <v>39</v>
      </c>
      <c r="C15" s="19" t="s">
        <v>21</v>
      </c>
      <c r="D15" s="21">
        <f>4/50</f>
        <v>0.08</v>
      </c>
      <c r="E15" s="19" t="s">
        <v>40</v>
      </c>
      <c r="F15" s="19" t="s">
        <v>197</v>
      </c>
      <c r="G15" s="19" t="s">
        <v>38</v>
      </c>
      <c r="H15" s="22">
        <v>13000.0</v>
      </c>
      <c r="I15" s="24"/>
      <c r="J15" s="23">
        <f t="shared" si="2"/>
        <v>1040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198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147</v>
      </c>
      <c r="C20" s="19" t="s">
        <v>54</v>
      </c>
      <c r="D20" s="104">
        <f>1.5/5</f>
        <v>0.3</v>
      </c>
      <c r="E20" s="19" t="s">
        <v>148</v>
      </c>
      <c r="F20" s="19" t="s">
        <v>199</v>
      </c>
      <c r="G20" s="19" t="s">
        <v>38</v>
      </c>
      <c r="H20" s="22">
        <v>4212.0</v>
      </c>
      <c r="I20" s="24"/>
      <c r="J20" s="105">
        <f t="shared" si="2"/>
        <v>1263.6</v>
      </c>
    </row>
    <row r="21">
      <c r="A21" s="19">
        <v>8.0</v>
      </c>
      <c r="B21" s="20" t="s">
        <v>126</v>
      </c>
      <c r="C21" s="20"/>
      <c r="D21" s="59">
        <v>1.2</v>
      </c>
      <c r="E21" s="19" t="s">
        <v>148</v>
      </c>
      <c r="F21" s="19" t="s">
        <v>228</v>
      </c>
      <c r="G21" s="20"/>
      <c r="H21" s="22">
        <v>18000.0</v>
      </c>
      <c r="I21" s="24"/>
      <c r="J21" s="23">
        <f t="shared" si="2"/>
        <v>21600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31" t="s">
        <v>13</v>
      </c>
      <c r="E23" s="31" t="s">
        <v>14</v>
      </c>
      <c r="F23" s="31" t="s">
        <v>32</v>
      </c>
      <c r="G23" s="31" t="s">
        <v>16</v>
      </c>
      <c r="H23" s="31" t="s">
        <v>65</v>
      </c>
      <c r="I23" s="32"/>
      <c r="J23" s="31" t="s">
        <v>19</v>
      </c>
    </row>
    <row r="24">
      <c r="A24" s="19">
        <v>1.0</v>
      </c>
      <c r="B24" s="19" t="s">
        <v>229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10000.0</v>
      </c>
      <c r="I24" s="33"/>
      <c r="J24" s="110">
        <v>5000.0</v>
      </c>
    </row>
    <row r="25">
      <c r="A25" s="19">
        <v>2.0</v>
      </c>
      <c r="B25" s="19" t="s">
        <v>205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20000.0</v>
      </c>
      <c r="I25" s="33"/>
      <c r="J25" s="110">
        <v>18000.0</v>
      </c>
    </row>
    <row r="26">
      <c r="A26" s="19">
        <v>3.0</v>
      </c>
      <c r="B26" s="19" t="s">
        <v>231</v>
      </c>
      <c r="C26" s="33"/>
      <c r="D26" s="34">
        <v>1.0</v>
      </c>
      <c r="E26" s="19" t="s">
        <v>47</v>
      </c>
      <c r="F26" s="35"/>
      <c r="G26" s="19" t="s">
        <v>68</v>
      </c>
      <c r="H26" s="22">
        <v>5000.0</v>
      </c>
      <c r="I26" s="33"/>
      <c r="J26" s="110">
        <v>3000.0</v>
      </c>
    </row>
    <row r="27">
      <c r="A27" s="19">
        <v>4.0</v>
      </c>
      <c r="B27" s="19" t="s">
        <v>141</v>
      </c>
      <c r="C27" s="33"/>
      <c r="D27" s="34">
        <v>7.0</v>
      </c>
      <c r="E27" s="19" t="s">
        <v>47</v>
      </c>
      <c r="F27" s="35"/>
      <c r="G27" s="19" t="s">
        <v>68</v>
      </c>
      <c r="H27" s="22">
        <v>300.0</v>
      </c>
      <c r="I27" s="33"/>
      <c r="J27" s="23">
        <f>D27*H27</f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230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7">
        <f>SUM(J10:J11)</f>
        <v>56250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98">
        <f>SUM(J14:J21)</f>
        <v>24982.3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99">
        <f>SUM(J24:J27)</f>
        <v>28100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00">
        <f>SUM(C3:D5)</f>
        <v>109332.3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234</v>
      </c>
      <c r="C10" s="19" t="s">
        <v>21</v>
      </c>
      <c r="D10" s="21">
        <v>1.25</v>
      </c>
      <c r="E10" s="19" t="s">
        <v>225</v>
      </c>
      <c r="F10" s="44" t="s">
        <v>226</v>
      </c>
      <c r="G10" s="19" t="s">
        <v>213</v>
      </c>
      <c r="H10" s="52">
        <v>45000.0</v>
      </c>
      <c r="I10" s="62"/>
      <c r="J10" s="23">
        <f t="shared" ref="J10:J11" si="1">D10*H10</f>
        <v>56250</v>
      </c>
    </row>
    <row r="11">
      <c r="A11" s="19">
        <v>2.0</v>
      </c>
      <c r="B11" s="20"/>
      <c r="C11" s="20"/>
      <c r="D11" s="56"/>
      <c r="E11" s="20"/>
      <c r="F11" s="53"/>
      <c r="G11" s="20"/>
      <c r="H11" s="57"/>
      <c r="I11" s="24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1/50</f>
        <v>0.02</v>
      </c>
      <c r="E14" s="19" t="s">
        <v>35</v>
      </c>
      <c r="F14" s="19" t="s">
        <v>196</v>
      </c>
      <c r="G14" s="19" t="s">
        <v>38</v>
      </c>
      <c r="H14" s="22">
        <v>25000.0</v>
      </c>
      <c r="I14" s="24"/>
      <c r="J14" s="23">
        <f t="shared" ref="J14:J21" si="2">D14*H14</f>
        <v>500</v>
      </c>
    </row>
    <row r="15">
      <c r="A15" s="19">
        <v>2.0</v>
      </c>
      <c r="B15" s="20" t="s">
        <v>39</v>
      </c>
      <c r="C15" s="19" t="s">
        <v>21</v>
      </c>
      <c r="D15" s="21">
        <f>4/50</f>
        <v>0.08</v>
      </c>
      <c r="E15" s="19" t="s">
        <v>40</v>
      </c>
      <c r="F15" s="19" t="s">
        <v>197</v>
      </c>
      <c r="G15" s="19" t="s">
        <v>38</v>
      </c>
      <c r="H15" s="22">
        <v>13000.0</v>
      </c>
      <c r="I15" s="24"/>
      <c r="J15" s="23">
        <f t="shared" si="2"/>
        <v>1040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198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147</v>
      </c>
      <c r="C20" s="19" t="s">
        <v>54</v>
      </c>
      <c r="D20" s="104">
        <f>1.5/5</f>
        <v>0.3</v>
      </c>
      <c r="E20" s="19" t="s">
        <v>148</v>
      </c>
      <c r="F20" s="19" t="s">
        <v>199</v>
      </c>
      <c r="G20" s="19" t="s">
        <v>38</v>
      </c>
      <c r="H20" s="22">
        <v>4212.0</v>
      </c>
      <c r="I20" s="24"/>
      <c r="J20" s="105">
        <f t="shared" si="2"/>
        <v>1263.6</v>
      </c>
    </row>
    <row r="21">
      <c r="A21" s="19">
        <v>8.0</v>
      </c>
      <c r="B21" s="20" t="s">
        <v>126</v>
      </c>
      <c r="C21" s="20"/>
      <c r="D21" s="21">
        <v>1.2</v>
      </c>
      <c r="E21" s="19" t="s">
        <v>148</v>
      </c>
      <c r="F21" s="19" t="s">
        <v>228</v>
      </c>
      <c r="G21" s="20"/>
      <c r="H21" s="22">
        <v>18000.0</v>
      </c>
      <c r="I21" s="24"/>
      <c r="J21" s="23">
        <f t="shared" si="2"/>
        <v>21600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31" t="s">
        <v>13</v>
      </c>
      <c r="E23" s="31" t="s">
        <v>14</v>
      </c>
      <c r="F23" s="31" t="s">
        <v>32</v>
      </c>
      <c r="G23" s="31" t="s">
        <v>16</v>
      </c>
      <c r="H23" s="31" t="s">
        <v>65</v>
      </c>
      <c r="I23" s="32"/>
      <c r="J23" s="31" t="s">
        <v>19</v>
      </c>
    </row>
    <row r="24">
      <c r="A24" s="19">
        <v>1.0</v>
      </c>
      <c r="B24" s="19" t="s">
        <v>229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10000.0</v>
      </c>
      <c r="I24" s="33"/>
      <c r="J24" s="110">
        <v>5000.0</v>
      </c>
    </row>
    <row r="25">
      <c r="A25" s="19">
        <v>2.0</v>
      </c>
      <c r="B25" s="19" t="s">
        <v>205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20000.0</v>
      </c>
      <c r="I25" s="33"/>
      <c r="J25" s="110">
        <v>18000.0</v>
      </c>
    </row>
    <row r="26">
      <c r="A26" s="19">
        <v>3.0</v>
      </c>
      <c r="B26" s="19" t="s">
        <v>231</v>
      </c>
      <c r="C26" s="33"/>
      <c r="D26" s="34">
        <v>1.0</v>
      </c>
      <c r="E26" s="19" t="s">
        <v>47</v>
      </c>
      <c r="F26" s="35"/>
      <c r="G26" s="19" t="s">
        <v>68</v>
      </c>
      <c r="H26" s="22">
        <v>5000.0</v>
      </c>
      <c r="I26" s="33"/>
      <c r="J26" s="110">
        <v>3000.0</v>
      </c>
    </row>
    <row r="27">
      <c r="A27" s="19">
        <v>4.0</v>
      </c>
      <c r="B27" s="19" t="s">
        <v>141</v>
      </c>
      <c r="C27" s="33"/>
      <c r="D27" s="34">
        <v>7.0</v>
      </c>
      <c r="E27" s="19" t="s">
        <v>47</v>
      </c>
      <c r="F27" s="35"/>
      <c r="G27" s="19" t="s">
        <v>68</v>
      </c>
      <c r="H27" s="22">
        <v>300.0</v>
      </c>
      <c r="I27" s="33"/>
      <c r="J27" s="23">
        <f>D27*H27</f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232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7">
        <f>SUM(J10:J11)</f>
        <v>6540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98">
        <f>SUM(J14:J21)</f>
        <v>13882.3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99">
        <f>SUM(J24:J27)</f>
        <v>28100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00">
        <f>SUM(C3:D5)</f>
        <v>48522.3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235</v>
      </c>
      <c r="C10" s="19" t="s">
        <v>21</v>
      </c>
      <c r="D10" s="111">
        <v>0.3</v>
      </c>
      <c r="E10" s="19" t="s">
        <v>148</v>
      </c>
      <c r="F10" s="44" t="s">
        <v>237</v>
      </c>
      <c r="G10" s="19" t="s">
        <v>238</v>
      </c>
      <c r="H10" s="52">
        <v>21800.0</v>
      </c>
      <c r="I10" s="62"/>
      <c r="J10" s="23">
        <f t="shared" ref="J10:J11" si="1">D10*H10</f>
        <v>6540</v>
      </c>
    </row>
    <row r="11">
      <c r="A11" s="19">
        <v>2.0</v>
      </c>
      <c r="B11" s="20"/>
      <c r="C11" s="20"/>
      <c r="D11" s="56"/>
      <c r="E11" s="20"/>
      <c r="F11" s="53"/>
      <c r="G11" s="20"/>
      <c r="H11" s="57"/>
      <c r="I11" s="24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1/50</f>
        <v>0.02</v>
      </c>
      <c r="E14" s="19" t="s">
        <v>35</v>
      </c>
      <c r="F14" s="19" t="s">
        <v>196</v>
      </c>
      <c r="G14" s="19" t="s">
        <v>38</v>
      </c>
      <c r="H14" s="22">
        <v>25000.0</v>
      </c>
      <c r="I14" s="24"/>
      <c r="J14" s="23">
        <f t="shared" ref="J14:J21" si="2">D14*H14</f>
        <v>500</v>
      </c>
    </row>
    <row r="15">
      <c r="A15" s="19">
        <v>2.0</v>
      </c>
      <c r="B15" s="20" t="s">
        <v>39</v>
      </c>
      <c r="C15" s="19" t="s">
        <v>21</v>
      </c>
      <c r="D15" s="21">
        <f>4/50</f>
        <v>0.08</v>
      </c>
      <c r="E15" s="19" t="s">
        <v>40</v>
      </c>
      <c r="F15" s="19" t="s">
        <v>197</v>
      </c>
      <c r="G15" s="19" t="s">
        <v>38</v>
      </c>
      <c r="H15" s="22">
        <v>13000.0</v>
      </c>
      <c r="I15" s="24"/>
      <c r="J15" s="23">
        <f t="shared" si="2"/>
        <v>1040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198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147</v>
      </c>
      <c r="C20" s="19" t="s">
        <v>54</v>
      </c>
      <c r="D20" s="104">
        <f>1.5/5</f>
        <v>0.3</v>
      </c>
      <c r="E20" s="19" t="s">
        <v>148</v>
      </c>
      <c r="F20" s="19" t="s">
        <v>199</v>
      </c>
      <c r="G20" s="19" t="s">
        <v>38</v>
      </c>
      <c r="H20" s="22">
        <v>4212.0</v>
      </c>
      <c r="I20" s="24"/>
      <c r="J20" s="105">
        <f t="shared" si="2"/>
        <v>1263.6</v>
      </c>
    </row>
    <row r="21">
      <c r="A21" s="19">
        <v>8.0</v>
      </c>
      <c r="B21" s="20" t="s">
        <v>126</v>
      </c>
      <c r="C21" s="20"/>
      <c r="D21" s="112">
        <v>0.3</v>
      </c>
      <c r="E21" s="19" t="s">
        <v>148</v>
      </c>
      <c r="F21" s="19" t="s">
        <v>242</v>
      </c>
      <c r="G21" s="20"/>
      <c r="H21" s="109">
        <v>35000.0</v>
      </c>
      <c r="I21" s="24"/>
      <c r="J21" s="23">
        <f t="shared" si="2"/>
        <v>10500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31" t="s">
        <v>13</v>
      </c>
      <c r="E23" s="31" t="s">
        <v>14</v>
      </c>
      <c r="F23" s="31" t="s">
        <v>32</v>
      </c>
      <c r="G23" s="31" t="s">
        <v>16</v>
      </c>
      <c r="H23" s="31" t="s">
        <v>65</v>
      </c>
      <c r="I23" s="32"/>
      <c r="J23" s="31" t="s">
        <v>19</v>
      </c>
    </row>
    <row r="24">
      <c r="A24" s="19">
        <v>1.0</v>
      </c>
      <c r="B24" s="19" t="s">
        <v>229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10000.0</v>
      </c>
      <c r="I24" s="33"/>
      <c r="J24" s="110">
        <v>5000.0</v>
      </c>
    </row>
    <row r="25">
      <c r="A25" s="19">
        <v>2.0</v>
      </c>
      <c r="B25" s="19" t="s">
        <v>205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20000.0</v>
      </c>
      <c r="I25" s="33"/>
      <c r="J25" s="110">
        <v>18000.0</v>
      </c>
    </row>
    <row r="26">
      <c r="A26" s="19">
        <v>3.0</v>
      </c>
      <c r="B26" s="19" t="s">
        <v>231</v>
      </c>
      <c r="C26" s="33"/>
      <c r="D26" s="34">
        <v>1.0</v>
      </c>
      <c r="E26" s="19" t="s">
        <v>47</v>
      </c>
      <c r="F26" s="35"/>
      <c r="G26" s="19" t="s">
        <v>68</v>
      </c>
      <c r="H26" s="22">
        <v>5000.0</v>
      </c>
      <c r="I26" s="33"/>
      <c r="J26" s="110">
        <v>3000.0</v>
      </c>
    </row>
    <row r="27">
      <c r="A27" s="19">
        <v>4.0</v>
      </c>
      <c r="B27" s="19" t="s">
        <v>141</v>
      </c>
      <c r="C27" s="33"/>
      <c r="D27" s="34">
        <v>7.0</v>
      </c>
      <c r="E27" s="19" t="s">
        <v>47</v>
      </c>
      <c r="F27" s="35"/>
      <c r="G27" s="19" t="s">
        <v>68</v>
      </c>
      <c r="H27" s="22">
        <v>300.0</v>
      </c>
      <c r="I27" s="33"/>
      <c r="J27" s="23">
        <f>D27*H27</f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233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7">
        <f>SUM(J10:J11)</f>
        <v>39060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98">
        <f>SUM(J14:J21)</f>
        <v>30382.3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99">
        <f>SUM(J24:J27)</f>
        <v>28100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00">
        <f>SUM(C3:D5)</f>
        <v>97542.3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224</v>
      </c>
      <c r="C10" s="19" t="s">
        <v>21</v>
      </c>
      <c r="D10" s="21">
        <v>1.55</v>
      </c>
      <c r="E10" s="19" t="s">
        <v>225</v>
      </c>
      <c r="F10" s="44" t="s">
        <v>236</v>
      </c>
      <c r="G10" s="19" t="s">
        <v>227</v>
      </c>
      <c r="H10" s="52">
        <v>25200.0</v>
      </c>
      <c r="I10" s="62"/>
      <c r="J10" s="23">
        <f t="shared" ref="J10:J11" si="1">D10*H10</f>
        <v>39060</v>
      </c>
    </row>
    <row r="11">
      <c r="A11" s="19">
        <v>2.0</v>
      </c>
      <c r="B11" s="20"/>
      <c r="C11" s="20"/>
      <c r="D11" s="56"/>
      <c r="E11" s="20"/>
      <c r="F11" s="53"/>
      <c r="G11" s="20"/>
      <c r="H11" s="57"/>
      <c r="I11" s="24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1/50</f>
        <v>0.02</v>
      </c>
      <c r="E14" s="19" t="s">
        <v>35</v>
      </c>
      <c r="F14" s="19" t="s">
        <v>196</v>
      </c>
      <c r="G14" s="19" t="s">
        <v>38</v>
      </c>
      <c r="H14" s="22">
        <v>25000.0</v>
      </c>
      <c r="I14" s="24"/>
      <c r="J14" s="23">
        <f t="shared" ref="J14:J21" si="2">D14*H14</f>
        <v>500</v>
      </c>
    </row>
    <row r="15">
      <c r="A15" s="19">
        <v>2.0</v>
      </c>
      <c r="B15" s="20" t="s">
        <v>39</v>
      </c>
      <c r="C15" s="19" t="s">
        <v>21</v>
      </c>
      <c r="D15" s="21">
        <f>4/50</f>
        <v>0.08</v>
      </c>
      <c r="E15" s="19" t="s">
        <v>40</v>
      </c>
      <c r="F15" s="19" t="s">
        <v>197</v>
      </c>
      <c r="G15" s="19" t="s">
        <v>38</v>
      </c>
      <c r="H15" s="22">
        <v>13000.0</v>
      </c>
      <c r="I15" s="24"/>
      <c r="J15" s="23">
        <f t="shared" si="2"/>
        <v>1040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198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147</v>
      </c>
      <c r="C20" s="19" t="s">
        <v>54</v>
      </c>
      <c r="D20" s="104">
        <f>1.5/5</f>
        <v>0.3</v>
      </c>
      <c r="E20" s="19" t="s">
        <v>148</v>
      </c>
      <c r="F20" s="19" t="s">
        <v>199</v>
      </c>
      <c r="G20" s="19" t="s">
        <v>38</v>
      </c>
      <c r="H20" s="22">
        <v>4212.0</v>
      </c>
      <c r="I20" s="24"/>
      <c r="J20" s="105">
        <f t="shared" si="2"/>
        <v>1263.6</v>
      </c>
    </row>
    <row r="21">
      <c r="A21" s="19">
        <v>8.0</v>
      </c>
      <c r="B21" s="20" t="s">
        <v>126</v>
      </c>
      <c r="C21" s="20"/>
      <c r="D21" s="21">
        <v>1.5</v>
      </c>
      <c r="E21" s="19" t="s">
        <v>148</v>
      </c>
      <c r="F21" s="19" t="s">
        <v>241</v>
      </c>
      <c r="G21" s="20"/>
      <c r="H21" s="22">
        <v>18000.0</v>
      </c>
      <c r="I21" s="24"/>
      <c r="J21" s="23">
        <f t="shared" si="2"/>
        <v>27000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31" t="s">
        <v>13</v>
      </c>
      <c r="E23" s="31" t="s">
        <v>14</v>
      </c>
      <c r="F23" s="31" t="s">
        <v>32</v>
      </c>
      <c r="G23" s="31" t="s">
        <v>16</v>
      </c>
      <c r="H23" s="31" t="s">
        <v>65</v>
      </c>
      <c r="I23" s="32"/>
      <c r="J23" s="31" t="s">
        <v>19</v>
      </c>
    </row>
    <row r="24">
      <c r="A24" s="19">
        <v>1.0</v>
      </c>
      <c r="B24" s="19" t="s">
        <v>229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10000.0</v>
      </c>
      <c r="I24" s="33"/>
      <c r="J24" s="110">
        <v>5000.0</v>
      </c>
    </row>
    <row r="25">
      <c r="A25" s="19">
        <v>2.0</v>
      </c>
      <c r="B25" s="19" t="s">
        <v>205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20000.0</v>
      </c>
      <c r="I25" s="33"/>
      <c r="J25" s="110">
        <v>18000.0</v>
      </c>
    </row>
    <row r="26">
      <c r="A26" s="19">
        <v>3.0</v>
      </c>
      <c r="B26" s="19" t="s">
        <v>231</v>
      </c>
      <c r="C26" s="33"/>
      <c r="D26" s="34">
        <v>1.0</v>
      </c>
      <c r="E26" s="19" t="s">
        <v>47</v>
      </c>
      <c r="F26" s="35"/>
      <c r="G26" s="19" t="s">
        <v>68</v>
      </c>
      <c r="H26" s="22">
        <v>5000.0</v>
      </c>
      <c r="I26" s="33"/>
      <c r="J26" s="110">
        <v>3000.0</v>
      </c>
    </row>
    <row r="27">
      <c r="A27" s="19">
        <v>4.0</v>
      </c>
      <c r="B27" s="19" t="s">
        <v>141</v>
      </c>
      <c r="C27" s="33"/>
      <c r="D27" s="34">
        <v>7.0</v>
      </c>
      <c r="E27" s="19" t="s">
        <v>47</v>
      </c>
      <c r="F27" s="35"/>
      <c r="G27" s="19" t="s">
        <v>68</v>
      </c>
      <c r="H27" s="22">
        <v>300.0</v>
      </c>
      <c r="I27" s="33"/>
      <c r="J27" s="23">
        <f>D27*H27</f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4" t="s">
        <v>239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7">
        <f>SUM(J10:J11)</f>
        <v>67500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98">
        <f>SUM(J14:J21)</f>
        <v>30382.3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99">
        <f>SUM(J24:J27)</f>
        <v>28600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00">
        <f>SUM(C3:D5)</f>
        <v>126482.3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234</v>
      </c>
      <c r="C10" s="19" t="s">
        <v>21</v>
      </c>
      <c r="D10" s="21">
        <v>1.5</v>
      </c>
      <c r="E10" s="19" t="s">
        <v>148</v>
      </c>
      <c r="F10" s="44" t="s">
        <v>240</v>
      </c>
      <c r="G10" s="19" t="s">
        <v>213</v>
      </c>
      <c r="H10" s="52">
        <v>45000.0</v>
      </c>
      <c r="I10" s="62"/>
      <c r="J10" s="23">
        <f t="shared" ref="J10:J11" si="1">D10*H10</f>
        <v>67500</v>
      </c>
    </row>
    <row r="11">
      <c r="A11" s="19">
        <v>2.0</v>
      </c>
      <c r="B11" s="20"/>
      <c r="C11" s="20"/>
      <c r="D11" s="56"/>
      <c r="E11" s="20"/>
      <c r="F11" s="53"/>
      <c r="G11" s="20"/>
      <c r="H11" s="57"/>
      <c r="I11" s="24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1/50</f>
        <v>0.02</v>
      </c>
      <c r="E14" s="19" t="s">
        <v>35</v>
      </c>
      <c r="F14" s="19" t="s">
        <v>196</v>
      </c>
      <c r="G14" s="19" t="s">
        <v>38</v>
      </c>
      <c r="H14" s="22">
        <v>25000.0</v>
      </c>
      <c r="I14" s="24"/>
      <c r="J14" s="23">
        <f t="shared" ref="J14:J21" si="2">D14*H14</f>
        <v>500</v>
      </c>
    </row>
    <row r="15">
      <c r="A15" s="19">
        <v>2.0</v>
      </c>
      <c r="B15" s="20" t="s">
        <v>39</v>
      </c>
      <c r="C15" s="19" t="s">
        <v>21</v>
      </c>
      <c r="D15" s="21">
        <f>4/50</f>
        <v>0.08</v>
      </c>
      <c r="E15" s="19" t="s">
        <v>40</v>
      </c>
      <c r="F15" s="19" t="s">
        <v>197</v>
      </c>
      <c r="G15" s="19" t="s">
        <v>38</v>
      </c>
      <c r="H15" s="22">
        <v>13000.0</v>
      </c>
      <c r="I15" s="24"/>
      <c r="J15" s="23">
        <f t="shared" si="2"/>
        <v>1040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198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147</v>
      </c>
      <c r="C20" s="19" t="s">
        <v>54</v>
      </c>
      <c r="D20" s="104">
        <f>1.5/5</f>
        <v>0.3</v>
      </c>
      <c r="E20" s="19" t="s">
        <v>148</v>
      </c>
      <c r="F20" s="19" t="s">
        <v>199</v>
      </c>
      <c r="G20" s="19" t="s">
        <v>38</v>
      </c>
      <c r="H20" s="22">
        <v>4212.0</v>
      </c>
      <c r="I20" s="24"/>
      <c r="J20" s="105">
        <f t="shared" si="2"/>
        <v>1263.6</v>
      </c>
    </row>
    <row r="21">
      <c r="A21" s="19">
        <v>8.0</v>
      </c>
      <c r="B21" s="20" t="s">
        <v>126</v>
      </c>
      <c r="C21" s="20"/>
      <c r="D21" s="21">
        <v>1.5</v>
      </c>
      <c r="E21" s="19" t="s">
        <v>148</v>
      </c>
      <c r="F21" s="19" t="s">
        <v>241</v>
      </c>
      <c r="G21" s="20"/>
      <c r="H21" s="22">
        <v>18000.0</v>
      </c>
      <c r="I21" s="24"/>
      <c r="J21" s="23">
        <f t="shared" si="2"/>
        <v>27000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31" t="s">
        <v>13</v>
      </c>
      <c r="E23" s="31" t="s">
        <v>14</v>
      </c>
      <c r="F23" s="31" t="s">
        <v>32</v>
      </c>
      <c r="G23" s="31" t="s">
        <v>16</v>
      </c>
      <c r="H23" s="31" t="s">
        <v>65</v>
      </c>
      <c r="I23" s="32"/>
      <c r="J23" s="31" t="s">
        <v>19</v>
      </c>
    </row>
    <row r="24">
      <c r="A24" s="19">
        <v>1.0</v>
      </c>
      <c r="B24" s="19" t="s">
        <v>203</v>
      </c>
      <c r="C24" s="33"/>
      <c r="D24" s="34">
        <v>1.0</v>
      </c>
      <c r="E24" s="19" t="s">
        <v>47</v>
      </c>
      <c r="F24" s="33"/>
      <c r="G24" s="19" t="s">
        <v>68</v>
      </c>
      <c r="H24" s="22">
        <v>3500.0</v>
      </c>
      <c r="I24" s="33"/>
      <c r="J24" s="23">
        <f>D24*H24</f>
        <v>3500</v>
      </c>
    </row>
    <row r="25">
      <c r="A25" s="19">
        <v>2.0</v>
      </c>
      <c r="B25" s="19" t="s">
        <v>205</v>
      </c>
      <c r="C25" s="33"/>
      <c r="D25" s="34">
        <v>1.0</v>
      </c>
      <c r="E25" s="19" t="s">
        <v>47</v>
      </c>
      <c r="F25" s="33"/>
      <c r="G25" s="19" t="s">
        <v>68</v>
      </c>
      <c r="H25" s="22">
        <v>18000.0</v>
      </c>
      <c r="I25" s="33"/>
      <c r="J25" s="23">
        <v>20000.0</v>
      </c>
    </row>
    <row r="26">
      <c r="A26" s="19">
        <v>3.0</v>
      </c>
      <c r="B26" s="19" t="s">
        <v>206</v>
      </c>
      <c r="C26" s="33"/>
      <c r="D26" s="34">
        <v>1.0</v>
      </c>
      <c r="E26" s="19" t="s">
        <v>47</v>
      </c>
      <c r="F26" s="35"/>
      <c r="G26" s="19" t="s">
        <v>68</v>
      </c>
      <c r="H26" s="22">
        <v>3000.0</v>
      </c>
      <c r="I26" s="33"/>
      <c r="J26" s="23">
        <f t="shared" ref="J26:J27" si="3">D26*H26</f>
        <v>3000</v>
      </c>
    </row>
    <row r="27">
      <c r="A27" s="19">
        <v>4.0</v>
      </c>
      <c r="B27" s="19" t="s">
        <v>141</v>
      </c>
      <c r="C27" s="33"/>
      <c r="D27" s="34">
        <v>7.0</v>
      </c>
      <c r="E27" s="19" t="s">
        <v>47</v>
      </c>
      <c r="F27" s="35"/>
      <c r="G27" s="19" t="s">
        <v>68</v>
      </c>
      <c r="H27" s="22">
        <v>300.0</v>
      </c>
      <c r="I27" s="33"/>
      <c r="J27" s="23">
        <f t="shared" si="3"/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</row>
    <row r="2">
      <c r="A2" s="3"/>
      <c r="B2" s="51" t="s">
        <v>243</v>
      </c>
      <c r="C2" s="5" t="s">
        <v>3</v>
      </c>
      <c r="D2" s="6"/>
      <c r="E2" s="7"/>
      <c r="F2" s="1"/>
      <c r="G2" s="1"/>
      <c r="H2" s="1"/>
      <c r="I2" s="1"/>
      <c r="J2" s="1"/>
    </row>
    <row r="3">
      <c r="A3" s="3"/>
      <c r="B3" s="8" t="s">
        <v>4</v>
      </c>
      <c r="C3" s="97">
        <f>SUM(J10:J11)</f>
        <v>10900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98">
        <f>SUM(J14:J21)</f>
        <v>20882.3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99">
        <f>SUM(J24:J27)</f>
        <v>28100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00">
        <f>SUM(C3:D5)</f>
        <v>59882.3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235</v>
      </c>
      <c r="C10" s="19" t="s">
        <v>21</v>
      </c>
      <c r="D10" s="111">
        <v>0.5</v>
      </c>
      <c r="E10" s="19" t="s">
        <v>148</v>
      </c>
      <c r="F10" s="44" t="s">
        <v>237</v>
      </c>
      <c r="G10" s="19" t="s">
        <v>238</v>
      </c>
      <c r="H10" s="52">
        <v>21800.0</v>
      </c>
      <c r="I10" s="62"/>
      <c r="J10" s="23">
        <f t="shared" ref="J10:J11" si="1">D10*H10</f>
        <v>10900</v>
      </c>
    </row>
    <row r="11">
      <c r="A11" s="19">
        <v>2.0</v>
      </c>
      <c r="B11" s="20"/>
      <c r="C11" s="20"/>
      <c r="D11" s="56"/>
      <c r="E11" s="20"/>
      <c r="F11" s="53"/>
      <c r="G11" s="20"/>
      <c r="H11" s="57"/>
      <c r="I11" s="24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1/50</f>
        <v>0.02</v>
      </c>
      <c r="E14" s="19" t="s">
        <v>35</v>
      </c>
      <c r="F14" s="19" t="s">
        <v>196</v>
      </c>
      <c r="G14" s="19" t="s">
        <v>38</v>
      </c>
      <c r="H14" s="22">
        <v>25000.0</v>
      </c>
      <c r="I14" s="24"/>
      <c r="J14" s="23">
        <f t="shared" ref="J14:J21" si="2">D14*H14</f>
        <v>500</v>
      </c>
    </row>
    <row r="15">
      <c r="A15" s="19">
        <v>2.0</v>
      </c>
      <c r="B15" s="20" t="s">
        <v>39</v>
      </c>
      <c r="C15" s="19" t="s">
        <v>21</v>
      </c>
      <c r="D15" s="21">
        <f>4/50</f>
        <v>0.08</v>
      </c>
      <c r="E15" s="19" t="s">
        <v>40</v>
      </c>
      <c r="F15" s="19" t="s">
        <v>197</v>
      </c>
      <c r="G15" s="19" t="s">
        <v>38</v>
      </c>
      <c r="H15" s="22">
        <v>13000.0</v>
      </c>
      <c r="I15" s="24"/>
      <c r="J15" s="23">
        <f t="shared" si="2"/>
        <v>1040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198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147</v>
      </c>
      <c r="C20" s="19" t="s">
        <v>54</v>
      </c>
      <c r="D20" s="104">
        <f>1.5/5</f>
        <v>0.3</v>
      </c>
      <c r="E20" s="19" t="s">
        <v>148</v>
      </c>
      <c r="F20" s="19" t="s">
        <v>199</v>
      </c>
      <c r="G20" s="19" t="s">
        <v>38</v>
      </c>
      <c r="H20" s="22">
        <v>4212.0</v>
      </c>
      <c r="I20" s="24"/>
      <c r="J20" s="105">
        <f t="shared" si="2"/>
        <v>1263.6</v>
      </c>
    </row>
    <row r="21">
      <c r="A21" s="19">
        <v>8.0</v>
      </c>
      <c r="B21" s="20" t="s">
        <v>126</v>
      </c>
      <c r="C21" s="20"/>
      <c r="D21" s="112">
        <v>0.5</v>
      </c>
      <c r="E21" s="19" t="s">
        <v>148</v>
      </c>
      <c r="F21" s="19" t="s">
        <v>242</v>
      </c>
      <c r="G21" s="20"/>
      <c r="H21" s="109">
        <v>35000.0</v>
      </c>
      <c r="I21" s="24"/>
      <c r="J21" s="23">
        <f t="shared" si="2"/>
        <v>17500</v>
      </c>
    </row>
    <row r="22">
      <c r="A22" s="29" t="s">
        <v>63</v>
      </c>
      <c r="J22" s="30"/>
    </row>
    <row r="23">
      <c r="A23" s="31" t="s">
        <v>10</v>
      </c>
      <c r="B23" s="31" t="s">
        <v>64</v>
      </c>
      <c r="C23" s="32"/>
      <c r="D23" s="31" t="s">
        <v>13</v>
      </c>
      <c r="E23" s="31" t="s">
        <v>14</v>
      </c>
      <c r="F23" s="31" t="s">
        <v>32</v>
      </c>
      <c r="G23" s="31" t="s">
        <v>16</v>
      </c>
      <c r="H23" s="31" t="s">
        <v>65</v>
      </c>
      <c r="I23" s="32"/>
      <c r="J23" s="31" t="s">
        <v>19</v>
      </c>
    </row>
    <row r="24">
      <c r="A24" s="19">
        <v>1.0</v>
      </c>
      <c r="B24" s="19" t="s">
        <v>229</v>
      </c>
      <c r="C24" s="33"/>
      <c r="D24" s="34">
        <v>1.0</v>
      </c>
      <c r="E24" s="19" t="s">
        <v>47</v>
      </c>
      <c r="F24" s="33"/>
      <c r="G24" s="19" t="s">
        <v>68</v>
      </c>
      <c r="H24" s="22">
        <v>10000.0</v>
      </c>
      <c r="I24" s="33"/>
      <c r="J24" s="110">
        <v>5000.0</v>
      </c>
    </row>
    <row r="25">
      <c r="A25" s="19">
        <v>2.0</v>
      </c>
      <c r="B25" s="19" t="s">
        <v>205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20000.0</v>
      </c>
      <c r="I25" s="33"/>
      <c r="J25" s="110">
        <v>18000.0</v>
      </c>
    </row>
    <row r="26">
      <c r="A26" s="19">
        <v>3.0</v>
      </c>
      <c r="B26" s="19" t="s">
        <v>231</v>
      </c>
      <c r="C26" s="33"/>
      <c r="D26" s="34">
        <v>1.0</v>
      </c>
      <c r="E26" s="19" t="s">
        <v>47</v>
      </c>
      <c r="F26" s="35"/>
      <c r="G26" s="19" t="s">
        <v>68</v>
      </c>
      <c r="H26" s="22">
        <v>5000.0</v>
      </c>
      <c r="I26" s="33"/>
      <c r="J26" s="110">
        <v>3000.0</v>
      </c>
    </row>
    <row r="27">
      <c r="A27" s="19">
        <v>4.0</v>
      </c>
      <c r="B27" s="19" t="s">
        <v>141</v>
      </c>
      <c r="C27" s="33"/>
      <c r="D27" s="34">
        <v>7.0</v>
      </c>
      <c r="E27" s="19" t="s">
        <v>47</v>
      </c>
      <c r="F27" s="35"/>
      <c r="G27" s="19" t="s">
        <v>68</v>
      </c>
      <c r="H27" s="22">
        <v>300.0</v>
      </c>
      <c r="I27" s="33"/>
      <c r="J27" s="23">
        <f>D27*H27</f>
        <v>2100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I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244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56350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10452.83667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26800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93602.83667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252</v>
      </c>
      <c r="C10" s="75" t="s">
        <v>21</v>
      </c>
      <c r="D10" s="77">
        <v>1.45</v>
      </c>
      <c r="E10" s="75" t="s">
        <v>225</v>
      </c>
      <c r="F10" s="78" t="s">
        <v>247</v>
      </c>
      <c r="G10" s="75" t="s">
        <v>193</v>
      </c>
      <c r="H10" s="79">
        <v>35000.0</v>
      </c>
      <c r="I10" s="81">
        <v>29500.0</v>
      </c>
      <c r="J10" s="39">
        <f t="shared" ref="J10:J11" si="1">D10*H10</f>
        <v>50750</v>
      </c>
    </row>
    <row r="11">
      <c r="A11" s="75">
        <v>2.0</v>
      </c>
      <c r="B11" s="76" t="s">
        <v>254</v>
      </c>
      <c r="C11" s="75" t="s">
        <v>21</v>
      </c>
      <c r="D11" s="77">
        <v>0.16</v>
      </c>
      <c r="E11" s="75" t="s">
        <v>148</v>
      </c>
      <c r="F11" s="78" t="s">
        <v>255</v>
      </c>
      <c r="G11" s="75" t="s">
        <v>193</v>
      </c>
      <c r="H11" s="79">
        <v>35000.0</v>
      </c>
      <c r="I11" s="81">
        <v>29500.0</v>
      </c>
      <c r="J11" s="39">
        <f t="shared" si="1"/>
        <v>5600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1/21</f>
        <v>0.04761904762</v>
      </c>
      <c r="E14" s="75" t="s">
        <v>35</v>
      </c>
      <c r="F14" s="75" t="s">
        <v>251</v>
      </c>
      <c r="G14" s="75" t="s">
        <v>38</v>
      </c>
      <c r="H14" s="81">
        <v>25000.0</v>
      </c>
      <c r="I14" s="80"/>
      <c r="J14" s="39">
        <f t="shared" ref="J14:J25" si="2">D14*H14</f>
        <v>1190.47619</v>
      </c>
    </row>
    <row r="15">
      <c r="A15" s="75">
        <v>2.0</v>
      </c>
      <c r="B15" s="76" t="s">
        <v>39</v>
      </c>
      <c r="C15" s="75" t="s">
        <v>21</v>
      </c>
      <c r="D15" s="77">
        <f>4/21</f>
        <v>0.1904761905</v>
      </c>
      <c r="E15" s="75" t="s">
        <v>40</v>
      </c>
      <c r="F15" s="75" t="s">
        <v>253</v>
      </c>
      <c r="G15" s="75" t="s">
        <v>38</v>
      </c>
      <c r="H15" s="81">
        <v>13000.0</v>
      </c>
      <c r="I15" s="80"/>
      <c r="J15" s="39">
        <f t="shared" si="2"/>
        <v>2476.190476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256</v>
      </c>
      <c r="C20" s="75" t="s">
        <v>54</v>
      </c>
      <c r="D20" s="94">
        <v>0.9</v>
      </c>
      <c r="E20" s="75" t="s">
        <v>148</v>
      </c>
      <c r="F20" s="75" t="s">
        <v>257</v>
      </c>
      <c r="G20" s="75" t="s">
        <v>38</v>
      </c>
      <c r="H20" s="81">
        <v>4212.0</v>
      </c>
      <c r="I20" s="80"/>
      <c r="J20" s="95">
        <f t="shared" si="2"/>
        <v>3790.8</v>
      </c>
    </row>
    <row r="21">
      <c r="A21" s="75">
        <v>8.0</v>
      </c>
      <c r="B21" s="76" t="s">
        <v>258</v>
      </c>
      <c r="C21" s="75" t="s">
        <v>21</v>
      </c>
      <c r="D21" s="83">
        <v>1.0</v>
      </c>
      <c r="E21" s="75" t="s">
        <v>47</v>
      </c>
      <c r="F21" s="75" t="s">
        <v>259</v>
      </c>
      <c r="G21" s="75" t="s">
        <v>38</v>
      </c>
      <c r="H21" s="81">
        <v>2416.67</v>
      </c>
      <c r="I21" s="80"/>
      <c r="J21" s="39">
        <f t="shared" si="2"/>
        <v>2416.67</v>
      </c>
    </row>
    <row r="22">
      <c r="A22" s="75">
        <v>9.0</v>
      </c>
      <c r="B22" s="76" t="s">
        <v>260</v>
      </c>
      <c r="C22" s="75" t="s">
        <v>261</v>
      </c>
      <c r="D22" s="83">
        <v>1.0</v>
      </c>
      <c r="E22" s="75" t="s">
        <v>47</v>
      </c>
      <c r="F22" s="75" t="s">
        <v>263</v>
      </c>
      <c r="G22" s="75" t="s">
        <v>38</v>
      </c>
      <c r="H22" s="81">
        <v>110.0</v>
      </c>
      <c r="I22" s="80"/>
      <c r="J22" s="39">
        <f t="shared" si="2"/>
        <v>110</v>
      </c>
    </row>
    <row r="23">
      <c r="A23" s="75">
        <v>10.0</v>
      </c>
      <c r="B23" s="76" t="s">
        <v>264</v>
      </c>
      <c r="C23" s="75" t="s">
        <v>261</v>
      </c>
      <c r="D23" s="83">
        <v>1.0</v>
      </c>
      <c r="E23" s="75" t="s">
        <v>47</v>
      </c>
      <c r="F23" s="75" t="s">
        <v>263</v>
      </c>
      <c r="G23" s="75" t="s">
        <v>38</v>
      </c>
      <c r="H23" s="81">
        <v>868.0</v>
      </c>
      <c r="I23" s="80"/>
      <c r="J23" s="39">
        <f t="shared" si="2"/>
        <v>868</v>
      </c>
    </row>
    <row r="24">
      <c r="A24" s="75">
        <v>11.0</v>
      </c>
      <c r="B24" s="76" t="s">
        <v>265</v>
      </c>
      <c r="C24" s="75" t="s">
        <v>54</v>
      </c>
      <c r="D24" s="83">
        <v>1.3</v>
      </c>
      <c r="E24" s="75" t="s">
        <v>148</v>
      </c>
      <c r="F24" s="75" t="s">
        <v>266</v>
      </c>
      <c r="G24" s="75" t="s">
        <v>38</v>
      </c>
      <c r="H24" s="81">
        <v>1541.0</v>
      </c>
      <c r="I24" s="80"/>
      <c r="J24" s="39">
        <f t="shared" si="2"/>
        <v>2003.3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272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1" si="3">D28*H28</f>
        <v>5500</v>
      </c>
    </row>
    <row r="29">
      <c r="A29" s="75">
        <v>2.0</v>
      </c>
      <c r="B29" s="75" t="s">
        <v>274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18000.0</v>
      </c>
      <c r="I29" s="88"/>
      <c r="J29" s="39">
        <f t="shared" si="3"/>
        <v>18000</v>
      </c>
    </row>
    <row r="30">
      <c r="A30" s="75">
        <v>3.0</v>
      </c>
      <c r="B30" s="75" t="s">
        <v>275</v>
      </c>
      <c r="C30" s="86"/>
      <c r="D30" s="87">
        <v>1.0</v>
      </c>
      <c r="E30" s="75" t="s">
        <v>47</v>
      </c>
      <c r="F30" s="89"/>
      <c r="G30" s="75" t="s">
        <v>68</v>
      </c>
      <c r="H30" s="81">
        <v>3000.0</v>
      </c>
      <c r="I30" s="88"/>
      <c r="J30" s="39">
        <f t="shared" si="3"/>
        <v>3000</v>
      </c>
    </row>
    <row r="31">
      <c r="A31" s="75">
        <v>4.0</v>
      </c>
      <c r="B31" s="75" t="s">
        <v>141</v>
      </c>
      <c r="C31" s="86"/>
      <c r="D31" s="87">
        <v>1.0</v>
      </c>
      <c r="E31" s="75" t="s">
        <v>47</v>
      </c>
      <c r="F31" s="89"/>
      <c r="G31" s="75" t="s">
        <v>68</v>
      </c>
      <c r="H31" s="81">
        <v>300.0</v>
      </c>
      <c r="I31" s="88"/>
      <c r="J31" s="39">
        <f t="shared" si="3"/>
        <v>300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245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67750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10452.83667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26800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105002.8367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219</v>
      </c>
      <c r="C10" s="75" t="s">
        <v>21</v>
      </c>
      <c r="D10" s="77">
        <v>1.45</v>
      </c>
      <c r="E10" s="75" t="s">
        <v>225</v>
      </c>
      <c r="F10" s="78" t="s">
        <v>247</v>
      </c>
      <c r="G10" s="75" t="s">
        <v>193</v>
      </c>
      <c r="H10" s="79">
        <v>40000.0</v>
      </c>
      <c r="I10" s="81">
        <v>36000.0</v>
      </c>
      <c r="J10" s="39">
        <f t="shared" ref="J10:J11" si="1">D10*H10</f>
        <v>58000</v>
      </c>
    </row>
    <row r="11">
      <c r="A11" s="75">
        <v>2.0</v>
      </c>
      <c r="B11" s="76" t="s">
        <v>248</v>
      </c>
      <c r="C11" s="75" t="s">
        <v>21</v>
      </c>
      <c r="D11" s="77">
        <v>0.65</v>
      </c>
      <c r="E11" s="75" t="s">
        <v>148</v>
      </c>
      <c r="F11" s="78" t="s">
        <v>249</v>
      </c>
      <c r="G11" s="75" t="s">
        <v>250</v>
      </c>
      <c r="H11" s="79">
        <v>15000.0</v>
      </c>
      <c r="I11" s="81">
        <v>11000.0</v>
      </c>
      <c r="J11" s="39">
        <f t="shared" si="1"/>
        <v>9750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1/21</f>
        <v>0.04761904762</v>
      </c>
      <c r="E14" s="75" t="s">
        <v>35</v>
      </c>
      <c r="F14" s="75" t="s">
        <v>251</v>
      </c>
      <c r="G14" s="75" t="s">
        <v>38</v>
      </c>
      <c r="H14" s="81">
        <v>25000.0</v>
      </c>
      <c r="I14" s="80"/>
      <c r="J14" s="39">
        <f t="shared" ref="J14:J25" si="2">D14*H14</f>
        <v>1190.47619</v>
      </c>
    </row>
    <row r="15">
      <c r="A15" s="75">
        <v>2.0</v>
      </c>
      <c r="B15" s="76" t="s">
        <v>39</v>
      </c>
      <c r="C15" s="75" t="s">
        <v>21</v>
      </c>
      <c r="D15" s="77">
        <f>4/21</f>
        <v>0.1904761905</v>
      </c>
      <c r="E15" s="75" t="s">
        <v>40</v>
      </c>
      <c r="F15" s="75" t="s">
        <v>253</v>
      </c>
      <c r="G15" s="75" t="s">
        <v>38</v>
      </c>
      <c r="H15" s="81">
        <v>13000.0</v>
      </c>
      <c r="I15" s="80"/>
      <c r="J15" s="39">
        <f t="shared" si="2"/>
        <v>2476.190476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256</v>
      </c>
      <c r="C20" s="75" t="s">
        <v>54</v>
      </c>
      <c r="D20" s="94">
        <v>0.9</v>
      </c>
      <c r="E20" s="75" t="s">
        <v>148</v>
      </c>
      <c r="F20" s="75" t="s">
        <v>257</v>
      </c>
      <c r="G20" s="75" t="s">
        <v>38</v>
      </c>
      <c r="H20" s="81">
        <v>4212.0</v>
      </c>
      <c r="I20" s="80"/>
      <c r="J20" s="95">
        <f t="shared" si="2"/>
        <v>3790.8</v>
      </c>
    </row>
    <row r="21">
      <c r="A21" s="75">
        <v>8.0</v>
      </c>
      <c r="B21" s="76" t="s">
        <v>258</v>
      </c>
      <c r="C21" s="75" t="s">
        <v>21</v>
      </c>
      <c r="D21" s="83">
        <v>1.0</v>
      </c>
      <c r="E21" s="75" t="s">
        <v>47</v>
      </c>
      <c r="F21" s="75" t="s">
        <v>259</v>
      </c>
      <c r="G21" s="75" t="s">
        <v>38</v>
      </c>
      <c r="H21" s="81">
        <v>2416.67</v>
      </c>
      <c r="I21" s="80"/>
      <c r="J21" s="39">
        <f t="shared" si="2"/>
        <v>2416.67</v>
      </c>
    </row>
    <row r="22">
      <c r="A22" s="75">
        <v>9.0</v>
      </c>
      <c r="B22" s="76" t="s">
        <v>260</v>
      </c>
      <c r="C22" s="75" t="s">
        <v>261</v>
      </c>
      <c r="D22" s="83">
        <v>1.0</v>
      </c>
      <c r="E22" s="75" t="s">
        <v>47</v>
      </c>
      <c r="F22" s="75" t="s">
        <v>263</v>
      </c>
      <c r="G22" s="75" t="s">
        <v>38</v>
      </c>
      <c r="H22" s="81">
        <v>110.0</v>
      </c>
      <c r="I22" s="80"/>
      <c r="J22" s="39">
        <f t="shared" si="2"/>
        <v>110</v>
      </c>
    </row>
    <row r="23">
      <c r="A23" s="75">
        <v>10.0</v>
      </c>
      <c r="B23" s="76" t="s">
        <v>264</v>
      </c>
      <c r="C23" s="75" t="s">
        <v>261</v>
      </c>
      <c r="D23" s="83">
        <v>1.0</v>
      </c>
      <c r="E23" s="75" t="s">
        <v>47</v>
      </c>
      <c r="F23" s="75" t="s">
        <v>263</v>
      </c>
      <c r="G23" s="75" t="s">
        <v>38</v>
      </c>
      <c r="H23" s="81">
        <v>868.0</v>
      </c>
      <c r="I23" s="80"/>
      <c r="J23" s="39">
        <f t="shared" si="2"/>
        <v>868</v>
      </c>
    </row>
    <row r="24">
      <c r="A24" s="75">
        <v>11.0</v>
      </c>
      <c r="B24" s="76" t="s">
        <v>265</v>
      </c>
      <c r="C24" s="75" t="s">
        <v>54</v>
      </c>
      <c r="D24" s="83">
        <v>1.3</v>
      </c>
      <c r="E24" s="75" t="s">
        <v>148</v>
      </c>
      <c r="F24" s="75" t="s">
        <v>266</v>
      </c>
      <c r="G24" s="75" t="s">
        <v>38</v>
      </c>
      <c r="H24" s="81">
        <v>1541.0</v>
      </c>
      <c r="I24" s="80"/>
      <c r="J24" s="39">
        <f t="shared" si="2"/>
        <v>2003.3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66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1" si="3">D28*H28</f>
        <v>5500</v>
      </c>
    </row>
    <row r="29">
      <c r="A29" s="75">
        <v>2.0</v>
      </c>
      <c r="B29" s="75" t="s">
        <v>71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18000.0</v>
      </c>
      <c r="I29" s="88"/>
      <c r="J29" s="39">
        <f t="shared" si="3"/>
        <v>18000</v>
      </c>
    </row>
    <row r="30">
      <c r="A30" s="75">
        <v>3.0</v>
      </c>
      <c r="B30" s="75" t="s">
        <v>72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3000.0</v>
      </c>
      <c r="I30" s="88"/>
      <c r="J30" s="39">
        <f t="shared" si="3"/>
        <v>3000</v>
      </c>
    </row>
    <row r="31">
      <c r="A31" s="75">
        <v>4.0</v>
      </c>
      <c r="B31" s="75" t="s">
        <v>141</v>
      </c>
      <c r="C31" s="86"/>
      <c r="D31" s="87">
        <v>1.0</v>
      </c>
      <c r="E31" s="75" t="s">
        <v>47</v>
      </c>
      <c r="F31" s="89"/>
      <c r="G31" s="75" t="s">
        <v>68</v>
      </c>
      <c r="H31" s="81">
        <v>300.0</v>
      </c>
      <c r="I31" s="88"/>
      <c r="J31" s="39">
        <f t="shared" si="3"/>
        <v>300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246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72500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10452.83667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26800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109752.8367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212</v>
      </c>
      <c r="C10" s="75" t="s">
        <v>21</v>
      </c>
      <c r="D10" s="77">
        <v>1.45</v>
      </c>
      <c r="E10" s="75" t="s">
        <v>148</v>
      </c>
      <c r="F10" s="78" t="s">
        <v>247</v>
      </c>
      <c r="G10" s="19" t="s">
        <v>213</v>
      </c>
      <c r="H10" s="52">
        <v>50000.0</v>
      </c>
      <c r="I10" s="22">
        <v>45000.0</v>
      </c>
      <c r="J10" s="39">
        <f t="shared" ref="J10:J11" si="1">D10*H10</f>
        <v>72500</v>
      </c>
    </row>
    <row r="11">
      <c r="A11" s="75">
        <v>2.0</v>
      </c>
      <c r="B11" s="76"/>
      <c r="C11" s="75" t="s">
        <v>21</v>
      </c>
      <c r="D11" s="77">
        <v>0.65</v>
      </c>
      <c r="E11" s="75" t="s">
        <v>148</v>
      </c>
      <c r="F11" s="78" t="s">
        <v>249</v>
      </c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1/21</f>
        <v>0.04761904762</v>
      </c>
      <c r="E14" s="75" t="s">
        <v>35</v>
      </c>
      <c r="F14" s="75" t="s">
        <v>251</v>
      </c>
      <c r="G14" s="75" t="s">
        <v>38</v>
      </c>
      <c r="H14" s="81">
        <v>25000.0</v>
      </c>
      <c r="I14" s="80"/>
      <c r="J14" s="39">
        <f t="shared" ref="J14:J25" si="2">D14*H14</f>
        <v>1190.47619</v>
      </c>
    </row>
    <row r="15">
      <c r="A15" s="75">
        <v>2.0</v>
      </c>
      <c r="B15" s="76" t="s">
        <v>39</v>
      </c>
      <c r="C15" s="75" t="s">
        <v>21</v>
      </c>
      <c r="D15" s="77">
        <f>4/21</f>
        <v>0.1904761905</v>
      </c>
      <c r="E15" s="75" t="s">
        <v>40</v>
      </c>
      <c r="F15" s="75" t="s">
        <v>253</v>
      </c>
      <c r="G15" s="75" t="s">
        <v>38</v>
      </c>
      <c r="H15" s="81">
        <v>13000.0</v>
      </c>
      <c r="I15" s="80"/>
      <c r="J15" s="39">
        <f t="shared" si="2"/>
        <v>2476.190476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256</v>
      </c>
      <c r="C20" s="75" t="s">
        <v>54</v>
      </c>
      <c r="D20" s="94">
        <v>0.9</v>
      </c>
      <c r="E20" s="75" t="s">
        <v>148</v>
      </c>
      <c r="F20" s="75" t="s">
        <v>257</v>
      </c>
      <c r="G20" s="75" t="s">
        <v>38</v>
      </c>
      <c r="H20" s="81">
        <v>4212.0</v>
      </c>
      <c r="I20" s="80"/>
      <c r="J20" s="95">
        <f t="shared" si="2"/>
        <v>3790.8</v>
      </c>
    </row>
    <row r="21">
      <c r="A21" s="75">
        <v>8.0</v>
      </c>
      <c r="B21" s="76" t="s">
        <v>258</v>
      </c>
      <c r="C21" s="75" t="s">
        <v>21</v>
      </c>
      <c r="D21" s="83">
        <v>1.0</v>
      </c>
      <c r="E21" s="75" t="s">
        <v>47</v>
      </c>
      <c r="F21" s="75" t="s">
        <v>259</v>
      </c>
      <c r="G21" s="75" t="s">
        <v>38</v>
      </c>
      <c r="H21" s="81">
        <v>2416.67</v>
      </c>
      <c r="I21" s="80"/>
      <c r="J21" s="39">
        <f t="shared" si="2"/>
        <v>2416.67</v>
      </c>
    </row>
    <row r="22">
      <c r="A22" s="75">
        <v>9.0</v>
      </c>
      <c r="B22" s="76" t="s">
        <v>260</v>
      </c>
      <c r="C22" s="75" t="s">
        <v>261</v>
      </c>
      <c r="D22" s="83">
        <v>1.0</v>
      </c>
      <c r="E22" s="75" t="s">
        <v>47</v>
      </c>
      <c r="F22" s="75" t="s">
        <v>263</v>
      </c>
      <c r="G22" s="75" t="s">
        <v>38</v>
      </c>
      <c r="H22" s="81">
        <v>110.0</v>
      </c>
      <c r="I22" s="80"/>
      <c r="J22" s="39">
        <f t="shared" si="2"/>
        <v>110</v>
      </c>
    </row>
    <row r="23">
      <c r="A23" s="75">
        <v>10.0</v>
      </c>
      <c r="B23" s="76" t="s">
        <v>264</v>
      </c>
      <c r="C23" s="75" t="s">
        <v>261</v>
      </c>
      <c r="D23" s="83">
        <v>1.0</v>
      </c>
      <c r="E23" s="75" t="s">
        <v>47</v>
      </c>
      <c r="F23" s="75" t="s">
        <v>263</v>
      </c>
      <c r="G23" s="75" t="s">
        <v>38</v>
      </c>
      <c r="H23" s="81">
        <v>868.0</v>
      </c>
      <c r="I23" s="80"/>
      <c r="J23" s="39">
        <f t="shared" si="2"/>
        <v>868</v>
      </c>
    </row>
    <row r="24">
      <c r="A24" s="75">
        <v>11.0</v>
      </c>
      <c r="B24" s="76" t="s">
        <v>265</v>
      </c>
      <c r="C24" s="75" t="s">
        <v>54</v>
      </c>
      <c r="D24" s="83">
        <v>1.3</v>
      </c>
      <c r="E24" s="75" t="s">
        <v>148</v>
      </c>
      <c r="F24" s="75" t="s">
        <v>266</v>
      </c>
      <c r="G24" s="75" t="s">
        <v>38</v>
      </c>
      <c r="H24" s="81">
        <v>1541.0</v>
      </c>
      <c r="I24" s="80"/>
      <c r="J24" s="39">
        <f t="shared" si="2"/>
        <v>2003.3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66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1" si="3">D28*H28</f>
        <v>5500</v>
      </c>
    </row>
    <row r="29">
      <c r="A29" s="75">
        <v>2.0</v>
      </c>
      <c r="B29" s="75" t="s">
        <v>71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18000.0</v>
      </c>
      <c r="I29" s="88"/>
      <c r="J29" s="39">
        <f t="shared" si="3"/>
        <v>18000</v>
      </c>
    </row>
    <row r="30">
      <c r="A30" s="75">
        <v>3.0</v>
      </c>
      <c r="B30" s="75" t="s">
        <v>72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3000.0</v>
      </c>
      <c r="I30" s="88"/>
      <c r="J30" s="39">
        <f t="shared" si="3"/>
        <v>3000</v>
      </c>
    </row>
    <row r="31">
      <c r="A31" s="75">
        <v>4.0</v>
      </c>
      <c r="B31" s="75" t="s">
        <v>141</v>
      </c>
      <c r="C31" s="86"/>
      <c r="D31" s="87">
        <v>1.0</v>
      </c>
      <c r="E31" s="75" t="s">
        <v>47</v>
      </c>
      <c r="F31" s="89"/>
      <c r="G31" s="75" t="s">
        <v>68</v>
      </c>
      <c r="H31" s="81">
        <v>300.0</v>
      </c>
      <c r="I31" s="88"/>
      <c r="J31" s="39">
        <f t="shared" si="3"/>
        <v>300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262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66850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10452.83667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28800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106102.8367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267</v>
      </c>
      <c r="C10" s="75" t="s">
        <v>21</v>
      </c>
      <c r="D10" s="77">
        <v>1.75</v>
      </c>
      <c r="E10" s="75" t="s">
        <v>225</v>
      </c>
      <c r="F10" s="78" t="s">
        <v>268</v>
      </c>
      <c r="G10" s="75" t="s">
        <v>193</v>
      </c>
      <c r="H10" s="79">
        <v>35000.0</v>
      </c>
      <c r="I10" s="81">
        <v>29500.0</v>
      </c>
      <c r="J10" s="39">
        <f t="shared" ref="J10:J11" si="1">D10*H10</f>
        <v>61250</v>
      </c>
    </row>
    <row r="11">
      <c r="A11" s="75">
        <v>2.0</v>
      </c>
      <c r="B11" s="76" t="s">
        <v>269</v>
      </c>
      <c r="C11" s="75" t="s">
        <v>21</v>
      </c>
      <c r="D11" s="77">
        <v>0.16</v>
      </c>
      <c r="E11" s="75" t="s">
        <v>148</v>
      </c>
      <c r="F11" s="78" t="s">
        <v>255</v>
      </c>
      <c r="G11" s="75" t="s">
        <v>193</v>
      </c>
      <c r="H11" s="79">
        <v>35000.0</v>
      </c>
      <c r="I11" s="81">
        <v>29500.0</v>
      </c>
      <c r="J11" s="39">
        <f t="shared" si="1"/>
        <v>5600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1/21</f>
        <v>0.04761904762</v>
      </c>
      <c r="E14" s="75" t="s">
        <v>35</v>
      </c>
      <c r="F14" s="75" t="s">
        <v>251</v>
      </c>
      <c r="G14" s="75" t="s">
        <v>38</v>
      </c>
      <c r="H14" s="81">
        <v>25000.0</v>
      </c>
      <c r="I14" s="80"/>
      <c r="J14" s="39">
        <f t="shared" ref="J14:J25" si="2">D14*H14</f>
        <v>1190.47619</v>
      </c>
    </row>
    <row r="15">
      <c r="A15" s="75">
        <v>2.0</v>
      </c>
      <c r="B15" s="76" t="s">
        <v>39</v>
      </c>
      <c r="C15" s="75" t="s">
        <v>21</v>
      </c>
      <c r="D15" s="77">
        <f>4/21</f>
        <v>0.1904761905</v>
      </c>
      <c r="E15" s="75" t="s">
        <v>40</v>
      </c>
      <c r="F15" s="75" t="s">
        <v>253</v>
      </c>
      <c r="G15" s="75" t="s">
        <v>38</v>
      </c>
      <c r="H15" s="81">
        <v>13000.0</v>
      </c>
      <c r="I15" s="80"/>
      <c r="J15" s="39">
        <f t="shared" si="2"/>
        <v>2476.190476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256</v>
      </c>
      <c r="C20" s="75" t="s">
        <v>54</v>
      </c>
      <c r="D20" s="94">
        <v>0.9</v>
      </c>
      <c r="E20" s="75" t="s">
        <v>148</v>
      </c>
      <c r="F20" s="75" t="s">
        <v>257</v>
      </c>
      <c r="G20" s="75" t="s">
        <v>38</v>
      </c>
      <c r="H20" s="81">
        <v>4212.0</v>
      </c>
      <c r="I20" s="80"/>
      <c r="J20" s="95">
        <f t="shared" si="2"/>
        <v>3790.8</v>
      </c>
    </row>
    <row r="21">
      <c r="A21" s="75">
        <v>8.0</v>
      </c>
      <c r="B21" s="76" t="s">
        <v>258</v>
      </c>
      <c r="C21" s="75" t="s">
        <v>21</v>
      </c>
      <c r="D21" s="83">
        <v>1.0</v>
      </c>
      <c r="E21" s="75" t="s">
        <v>47</v>
      </c>
      <c r="F21" s="75" t="s">
        <v>259</v>
      </c>
      <c r="G21" s="75" t="s">
        <v>38</v>
      </c>
      <c r="H21" s="81">
        <v>2416.67</v>
      </c>
      <c r="I21" s="80"/>
      <c r="J21" s="39">
        <f t="shared" si="2"/>
        <v>2416.67</v>
      </c>
    </row>
    <row r="22">
      <c r="A22" s="75">
        <v>9.0</v>
      </c>
      <c r="B22" s="76" t="s">
        <v>260</v>
      </c>
      <c r="C22" s="75" t="s">
        <v>261</v>
      </c>
      <c r="D22" s="83">
        <v>1.0</v>
      </c>
      <c r="E22" s="75" t="s">
        <v>47</v>
      </c>
      <c r="F22" s="75" t="s">
        <v>263</v>
      </c>
      <c r="G22" s="75" t="s">
        <v>38</v>
      </c>
      <c r="H22" s="81">
        <v>110.0</v>
      </c>
      <c r="I22" s="80"/>
      <c r="J22" s="39">
        <f t="shared" si="2"/>
        <v>110</v>
      </c>
    </row>
    <row r="23">
      <c r="A23" s="75">
        <v>10.0</v>
      </c>
      <c r="B23" s="76" t="s">
        <v>264</v>
      </c>
      <c r="C23" s="75" t="s">
        <v>261</v>
      </c>
      <c r="D23" s="83">
        <v>1.0</v>
      </c>
      <c r="E23" s="75" t="s">
        <v>47</v>
      </c>
      <c r="F23" s="75" t="s">
        <v>263</v>
      </c>
      <c r="G23" s="75" t="s">
        <v>38</v>
      </c>
      <c r="H23" s="81">
        <v>868.0</v>
      </c>
      <c r="I23" s="80"/>
      <c r="J23" s="39">
        <f t="shared" si="2"/>
        <v>868</v>
      </c>
    </row>
    <row r="24">
      <c r="A24" s="75">
        <v>11.0</v>
      </c>
      <c r="B24" s="76" t="s">
        <v>265</v>
      </c>
      <c r="C24" s="75" t="s">
        <v>54</v>
      </c>
      <c r="D24" s="83">
        <v>1.3</v>
      </c>
      <c r="E24" s="75" t="s">
        <v>148</v>
      </c>
      <c r="F24" s="75" t="s">
        <v>266</v>
      </c>
      <c r="G24" s="75" t="s">
        <v>38</v>
      </c>
      <c r="H24" s="81">
        <v>1541.0</v>
      </c>
      <c r="I24" s="80"/>
      <c r="J24" s="39">
        <f t="shared" si="2"/>
        <v>2003.3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66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1" si="3">D28*H28</f>
        <v>5500</v>
      </c>
    </row>
    <row r="29">
      <c r="A29" s="75">
        <v>2.0</v>
      </c>
      <c r="B29" s="75" t="s">
        <v>71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20000.0</v>
      </c>
      <c r="I29" s="88"/>
      <c r="J29" s="39">
        <f t="shared" si="3"/>
        <v>20000</v>
      </c>
    </row>
    <row r="30">
      <c r="A30" s="75">
        <v>3.0</v>
      </c>
      <c r="B30" s="75" t="s">
        <v>72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3000.0</v>
      </c>
      <c r="I30" s="88"/>
      <c r="J30" s="39">
        <f t="shared" si="3"/>
        <v>3000</v>
      </c>
    </row>
    <row r="31">
      <c r="A31" s="75">
        <v>4.0</v>
      </c>
      <c r="B31" s="75" t="s">
        <v>141</v>
      </c>
      <c r="C31" s="86"/>
      <c r="D31" s="87">
        <v>1.0</v>
      </c>
      <c r="E31" s="75" t="s">
        <v>47</v>
      </c>
      <c r="F31" s="89"/>
      <c r="G31" s="75" t="s">
        <v>68</v>
      </c>
      <c r="H31" s="81">
        <v>300.0</v>
      </c>
      <c r="I31" s="88"/>
      <c r="J31" s="39">
        <f t="shared" si="3"/>
        <v>300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270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75600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10452.83667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28800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114852.8367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219</v>
      </c>
      <c r="C10" s="75" t="s">
        <v>21</v>
      </c>
      <c r="D10" s="77">
        <v>1.75</v>
      </c>
      <c r="E10" s="75" t="s">
        <v>225</v>
      </c>
      <c r="F10" s="78" t="s">
        <v>268</v>
      </c>
      <c r="G10" s="75" t="s">
        <v>193</v>
      </c>
      <c r="H10" s="79">
        <v>40000.0</v>
      </c>
      <c r="I10" s="81">
        <v>38000.0</v>
      </c>
      <c r="J10" s="39">
        <f t="shared" ref="J10:J11" si="1">D10*H10</f>
        <v>70000</v>
      </c>
    </row>
    <row r="11">
      <c r="A11" s="75">
        <v>2.0</v>
      </c>
      <c r="B11" s="76" t="s">
        <v>273</v>
      </c>
      <c r="C11" s="75" t="s">
        <v>21</v>
      </c>
      <c r="D11" s="77">
        <v>0.16</v>
      </c>
      <c r="E11" s="75" t="s">
        <v>148</v>
      </c>
      <c r="F11" s="78" t="s">
        <v>255</v>
      </c>
      <c r="G11" s="75" t="s">
        <v>193</v>
      </c>
      <c r="H11" s="79">
        <v>35000.0</v>
      </c>
      <c r="I11" s="81">
        <v>29500.0</v>
      </c>
      <c r="J11" s="39">
        <f t="shared" si="1"/>
        <v>5600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1/21</f>
        <v>0.04761904762</v>
      </c>
      <c r="E14" s="75" t="s">
        <v>35</v>
      </c>
      <c r="F14" s="75" t="s">
        <v>251</v>
      </c>
      <c r="G14" s="75" t="s">
        <v>38</v>
      </c>
      <c r="H14" s="81">
        <v>25000.0</v>
      </c>
      <c r="I14" s="80"/>
      <c r="J14" s="39">
        <f t="shared" ref="J14:J25" si="2">D14*H14</f>
        <v>1190.47619</v>
      </c>
    </row>
    <row r="15">
      <c r="A15" s="75">
        <v>2.0</v>
      </c>
      <c r="B15" s="76" t="s">
        <v>39</v>
      </c>
      <c r="C15" s="75" t="s">
        <v>21</v>
      </c>
      <c r="D15" s="77">
        <f>4/21</f>
        <v>0.1904761905</v>
      </c>
      <c r="E15" s="75" t="s">
        <v>40</v>
      </c>
      <c r="F15" s="75" t="s">
        <v>253</v>
      </c>
      <c r="G15" s="75" t="s">
        <v>38</v>
      </c>
      <c r="H15" s="81">
        <v>13000.0</v>
      </c>
      <c r="I15" s="80"/>
      <c r="J15" s="39">
        <f t="shared" si="2"/>
        <v>2476.190476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256</v>
      </c>
      <c r="C20" s="75" t="s">
        <v>54</v>
      </c>
      <c r="D20" s="94">
        <v>0.9</v>
      </c>
      <c r="E20" s="75" t="s">
        <v>148</v>
      </c>
      <c r="F20" s="75" t="s">
        <v>257</v>
      </c>
      <c r="G20" s="75" t="s">
        <v>38</v>
      </c>
      <c r="H20" s="81">
        <v>4212.0</v>
      </c>
      <c r="I20" s="80"/>
      <c r="J20" s="95">
        <f t="shared" si="2"/>
        <v>3790.8</v>
      </c>
    </row>
    <row r="21">
      <c r="A21" s="75">
        <v>8.0</v>
      </c>
      <c r="B21" s="76" t="s">
        <v>258</v>
      </c>
      <c r="C21" s="75" t="s">
        <v>21</v>
      </c>
      <c r="D21" s="83">
        <v>1.0</v>
      </c>
      <c r="E21" s="75" t="s">
        <v>47</v>
      </c>
      <c r="F21" s="75" t="s">
        <v>259</v>
      </c>
      <c r="G21" s="75" t="s">
        <v>38</v>
      </c>
      <c r="H21" s="81">
        <v>2416.67</v>
      </c>
      <c r="I21" s="80"/>
      <c r="J21" s="39">
        <f t="shared" si="2"/>
        <v>2416.67</v>
      </c>
    </row>
    <row r="22">
      <c r="A22" s="75">
        <v>9.0</v>
      </c>
      <c r="B22" s="76" t="s">
        <v>260</v>
      </c>
      <c r="C22" s="75" t="s">
        <v>261</v>
      </c>
      <c r="D22" s="83">
        <v>1.0</v>
      </c>
      <c r="E22" s="75" t="s">
        <v>47</v>
      </c>
      <c r="F22" s="75" t="s">
        <v>263</v>
      </c>
      <c r="G22" s="75" t="s">
        <v>38</v>
      </c>
      <c r="H22" s="81">
        <v>110.0</v>
      </c>
      <c r="I22" s="80"/>
      <c r="J22" s="39">
        <f t="shared" si="2"/>
        <v>110</v>
      </c>
    </row>
    <row r="23">
      <c r="A23" s="75">
        <v>10.0</v>
      </c>
      <c r="B23" s="76" t="s">
        <v>264</v>
      </c>
      <c r="C23" s="75" t="s">
        <v>261</v>
      </c>
      <c r="D23" s="83">
        <v>1.0</v>
      </c>
      <c r="E23" s="75" t="s">
        <v>47</v>
      </c>
      <c r="F23" s="75" t="s">
        <v>263</v>
      </c>
      <c r="G23" s="75" t="s">
        <v>38</v>
      </c>
      <c r="H23" s="81">
        <v>868.0</v>
      </c>
      <c r="I23" s="80"/>
      <c r="J23" s="39">
        <f t="shared" si="2"/>
        <v>868</v>
      </c>
    </row>
    <row r="24">
      <c r="A24" s="75">
        <v>11.0</v>
      </c>
      <c r="B24" s="76" t="s">
        <v>265</v>
      </c>
      <c r="C24" s="75" t="s">
        <v>54</v>
      </c>
      <c r="D24" s="83">
        <v>1.3</v>
      </c>
      <c r="E24" s="75" t="s">
        <v>148</v>
      </c>
      <c r="F24" s="75" t="s">
        <v>266</v>
      </c>
      <c r="G24" s="75" t="s">
        <v>38</v>
      </c>
      <c r="H24" s="81">
        <v>1541.0</v>
      </c>
      <c r="I24" s="80"/>
      <c r="J24" s="39">
        <f t="shared" si="2"/>
        <v>2003.3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66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1" si="3">D28*H28</f>
        <v>5500</v>
      </c>
    </row>
    <row r="29">
      <c r="A29" s="75">
        <v>2.0</v>
      </c>
      <c r="B29" s="75" t="s">
        <v>71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20000.0</v>
      </c>
      <c r="I29" s="88"/>
      <c r="J29" s="39">
        <f t="shared" si="3"/>
        <v>20000</v>
      </c>
    </row>
    <row r="30">
      <c r="A30" s="75">
        <v>3.0</v>
      </c>
      <c r="B30" s="75" t="s">
        <v>72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3000.0</v>
      </c>
      <c r="I30" s="88"/>
      <c r="J30" s="39">
        <f t="shared" si="3"/>
        <v>3000</v>
      </c>
    </row>
    <row r="31">
      <c r="A31" s="75">
        <v>4.0</v>
      </c>
      <c r="B31" s="75" t="s">
        <v>141</v>
      </c>
      <c r="C31" s="86"/>
      <c r="D31" s="87">
        <v>1.0</v>
      </c>
      <c r="E31" s="75" t="s">
        <v>47</v>
      </c>
      <c r="F31" s="89"/>
      <c r="G31" s="75" t="s">
        <v>68</v>
      </c>
      <c r="H31" s="81">
        <v>300.0</v>
      </c>
      <c r="I31" s="88"/>
      <c r="J31" s="39">
        <f t="shared" si="3"/>
        <v>300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271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90500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10452.83667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26800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127752.8367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276</v>
      </c>
      <c r="C10" s="75" t="s">
        <v>21</v>
      </c>
      <c r="D10" s="77">
        <v>1.65</v>
      </c>
      <c r="E10" s="75" t="s">
        <v>148</v>
      </c>
      <c r="F10" s="78" t="s">
        <v>277</v>
      </c>
      <c r="G10" s="19" t="s">
        <v>213</v>
      </c>
      <c r="H10" s="52">
        <v>50000.0</v>
      </c>
      <c r="I10" s="22">
        <v>45000.0</v>
      </c>
      <c r="J10" s="39">
        <f t="shared" ref="J10:J11" si="1">D10*H10</f>
        <v>82500</v>
      </c>
    </row>
    <row r="11">
      <c r="A11" s="75">
        <v>2.0</v>
      </c>
      <c r="B11" s="76" t="s">
        <v>278</v>
      </c>
      <c r="C11" s="75" t="s">
        <v>21</v>
      </c>
      <c r="D11" s="77">
        <v>0.16</v>
      </c>
      <c r="E11" s="75" t="s">
        <v>148</v>
      </c>
      <c r="F11" s="78" t="s">
        <v>279</v>
      </c>
      <c r="G11" s="75" t="s">
        <v>213</v>
      </c>
      <c r="H11" s="79">
        <v>50000.0</v>
      </c>
      <c r="I11" s="81">
        <v>45000.0</v>
      </c>
      <c r="J11" s="39">
        <f t="shared" si="1"/>
        <v>8000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1/21</f>
        <v>0.04761904762</v>
      </c>
      <c r="E14" s="75" t="s">
        <v>35</v>
      </c>
      <c r="F14" s="75" t="s">
        <v>251</v>
      </c>
      <c r="G14" s="75" t="s">
        <v>38</v>
      </c>
      <c r="H14" s="81">
        <v>25000.0</v>
      </c>
      <c r="I14" s="80"/>
      <c r="J14" s="39">
        <f t="shared" ref="J14:J25" si="2">D14*H14</f>
        <v>1190.47619</v>
      </c>
    </row>
    <row r="15">
      <c r="A15" s="75">
        <v>2.0</v>
      </c>
      <c r="B15" s="76" t="s">
        <v>39</v>
      </c>
      <c r="C15" s="75" t="s">
        <v>21</v>
      </c>
      <c r="D15" s="77">
        <f>4/21</f>
        <v>0.1904761905</v>
      </c>
      <c r="E15" s="75" t="s">
        <v>40</v>
      </c>
      <c r="F15" s="75" t="s">
        <v>253</v>
      </c>
      <c r="G15" s="75" t="s">
        <v>38</v>
      </c>
      <c r="H15" s="81">
        <v>13000.0</v>
      </c>
      <c r="I15" s="80"/>
      <c r="J15" s="39">
        <f t="shared" si="2"/>
        <v>2476.190476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256</v>
      </c>
      <c r="C20" s="75" t="s">
        <v>54</v>
      </c>
      <c r="D20" s="94">
        <v>0.9</v>
      </c>
      <c r="E20" s="75" t="s">
        <v>148</v>
      </c>
      <c r="F20" s="75" t="s">
        <v>257</v>
      </c>
      <c r="G20" s="75" t="s">
        <v>38</v>
      </c>
      <c r="H20" s="81">
        <v>4212.0</v>
      </c>
      <c r="I20" s="80"/>
      <c r="J20" s="95">
        <f t="shared" si="2"/>
        <v>3790.8</v>
      </c>
    </row>
    <row r="21">
      <c r="A21" s="75">
        <v>8.0</v>
      </c>
      <c r="B21" s="76" t="s">
        <v>258</v>
      </c>
      <c r="C21" s="75" t="s">
        <v>21</v>
      </c>
      <c r="D21" s="83">
        <v>1.0</v>
      </c>
      <c r="E21" s="75" t="s">
        <v>47</v>
      </c>
      <c r="F21" s="75" t="s">
        <v>259</v>
      </c>
      <c r="G21" s="75" t="s">
        <v>38</v>
      </c>
      <c r="H21" s="81">
        <v>2416.67</v>
      </c>
      <c r="I21" s="80"/>
      <c r="J21" s="39">
        <f t="shared" si="2"/>
        <v>2416.67</v>
      </c>
    </row>
    <row r="22">
      <c r="A22" s="75">
        <v>9.0</v>
      </c>
      <c r="B22" s="76" t="s">
        <v>260</v>
      </c>
      <c r="C22" s="75" t="s">
        <v>261</v>
      </c>
      <c r="D22" s="83">
        <v>1.0</v>
      </c>
      <c r="E22" s="75" t="s">
        <v>47</v>
      </c>
      <c r="F22" s="75" t="s">
        <v>263</v>
      </c>
      <c r="G22" s="75" t="s">
        <v>38</v>
      </c>
      <c r="H22" s="81">
        <v>110.0</v>
      </c>
      <c r="I22" s="80"/>
      <c r="J22" s="39">
        <f t="shared" si="2"/>
        <v>110</v>
      </c>
    </row>
    <row r="23">
      <c r="A23" s="75">
        <v>10.0</v>
      </c>
      <c r="B23" s="76" t="s">
        <v>264</v>
      </c>
      <c r="C23" s="75" t="s">
        <v>261</v>
      </c>
      <c r="D23" s="83">
        <v>1.0</v>
      </c>
      <c r="E23" s="75" t="s">
        <v>47</v>
      </c>
      <c r="F23" s="75" t="s">
        <v>263</v>
      </c>
      <c r="G23" s="75" t="s">
        <v>38</v>
      </c>
      <c r="H23" s="81">
        <v>868.0</v>
      </c>
      <c r="I23" s="80"/>
      <c r="J23" s="39">
        <f t="shared" si="2"/>
        <v>868</v>
      </c>
    </row>
    <row r="24">
      <c r="A24" s="75">
        <v>11.0</v>
      </c>
      <c r="B24" s="76" t="s">
        <v>265</v>
      </c>
      <c r="C24" s="75" t="s">
        <v>54</v>
      </c>
      <c r="D24" s="83">
        <v>1.3</v>
      </c>
      <c r="E24" s="75" t="s">
        <v>148</v>
      </c>
      <c r="F24" s="75" t="s">
        <v>266</v>
      </c>
      <c r="G24" s="75" t="s">
        <v>38</v>
      </c>
      <c r="H24" s="81">
        <v>1541.0</v>
      </c>
      <c r="I24" s="80"/>
      <c r="J24" s="39">
        <f t="shared" si="2"/>
        <v>2003.3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66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1" si="3">D28*H28</f>
        <v>5500</v>
      </c>
    </row>
    <row r="29">
      <c r="A29" s="75">
        <v>2.0</v>
      </c>
      <c r="B29" s="75" t="s">
        <v>71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18000.0</v>
      </c>
      <c r="I29" s="88"/>
      <c r="J29" s="39">
        <f t="shared" si="3"/>
        <v>18000</v>
      </c>
    </row>
    <row r="30">
      <c r="A30" s="75">
        <v>3.0</v>
      </c>
      <c r="B30" s="75" t="s">
        <v>72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3000.0</v>
      </c>
      <c r="I30" s="88"/>
      <c r="J30" s="39">
        <f t="shared" si="3"/>
        <v>3000</v>
      </c>
    </row>
    <row r="31">
      <c r="A31" s="75">
        <v>4.0</v>
      </c>
      <c r="B31" s="75" t="s">
        <v>141</v>
      </c>
      <c r="C31" s="86"/>
      <c r="D31" s="87">
        <v>1.0</v>
      </c>
      <c r="E31" s="75" t="s">
        <v>47</v>
      </c>
      <c r="F31" s="89"/>
      <c r="G31" s="75" t="s">
        <v>68</v>
      </c>
      <c r="H31" s="81">
        <v>300.0</v>
      </c>
      <c r="I31" s="88"/>
      <c r="J31" s="39">
        <f t="shared" si="3"/>
        <v>300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2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280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37100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10452.83667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23800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71352.83667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281</v>
      </c>
      <c r="C10" s="75" t="s">
        <v>21</v>
      </c>
      <c r="D10" s="77">
        <v>0.9</v>
      </c>
      <c r="E10" s="75" t="s">
        <v>128</v>
      </c>
      <c r="F10" s="78" t="s">
        <v>282</v>
      </c>
      <c r="G10" s="75" t="s">
        <v>193</v>
      </c>
      <c r="H10" s="79">
        <v>35000.0</v>
      </c>
      <c r="I10" s="81">
        <v>29500.0</v>
      </c>
      <c r="J10" s="39">
        <f t="shared" ref="J10:J11" si="1">D10*H10</f>
        <v>31500</v>
      </c>
    </row>
    <row r="11">
      <c r="A11" s="75">
        <v>2.0</v>
      </c>
      <c r="B11" s="76" t="s">
        <v>284</v>
      </c>
      <c r="C11" s="75" t="s">
        <v>21</v>
      </c>
      <c r="D11" s="77">
        <v>0.16</v>
      </c>
      <c r="E11" s="75" t="s">
        <v>148</v>
      </c>
      <c r="F11" s="78" t="s">
        <v>255</v>
      </c>
      <c r="G11" s="75" t="s">
        <v>193</v>
      </c>
      <c r="H11" s="79">
        <v>35000.0</v>
      </c>
      <c r="I11" s="81">
        <v>29500.0</v>
      </c>
      <c r="J11" s="39">
        <f t="shared" si="1"/>
        <v>5600</v>
      </c>
    </row>
    <row r="12">
      <c r="A12" s="40" t="s">
        <v>285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1/21</f>
        <v>0.04761904762</v>
      </c>
      <c r="E14" s="75" t="s">
        <v>35</v>
      </c>
      <c r="F14" s="75" t="s">
        <v>251</v>
      </c>
      <c r="G14" s="75" t="s">
        <v>38</v>
      </c>
      <c r="H14" s="81">
        <v>25000.0</v>
      </c>
      <c r="I14" s="80"/>
      <c r="J14" s="39">
        <f t="shared" ref="J14:J25" si="2">D14*H14</f>
        <v>1190.47619</v>
      </c>
    </row>
    <row r="15">
      <c r="A15" s="75">
        <v>2.0</v>
      </c>
      <c r="B15" s="76" t="s">
        <v>39</v>
      </c>
      <c r="C15" s="75" t="s">
        <v>21</v>
      </c>
      <c r="D15" s="77">
        <f>4/21</f>
        <v>0.1904761905</v>
      </c>
      <c r="E15" s="75" t="s">
        <v>40</v>
      </c>
      <c r="F15" s="75" t="s">
        <v>253</v>
      </c>
      <c r="G15" s="75" t="s">
        <v>38</v>
      </c>
      <c r="H15" s="81">
        <v>13000.0</v>
      </c>
      <c r="I15" s="80"/>
      <c r="J15" s="39">
        <f t="shared" si="2"/>
        <v>2476.190476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256</v>
      </c>
      <c r="C20" s="75" t="s">
        <v>54</v>
      </c>
      <c r="D20" s="94">
        <v>0.9</v>
      </c>
      <c r="E20" s="75" t="s">
        <v>148</v>
      </c>
      <c r="F20" s="75" t="s">
        <v>257</v>
      </c>
      <c r="G20" s="75" t="s">
        <v>38</v>
      </c>
      <c r="H20" s="81">
        <v>4212.0</v>
      </c>
      <c r="I20" s="80"/>
      <c r="J20" s="95">
        <f t="shared" si="2"/>
        <v>3790.8</v>
      </c>
    </row>
    <row r="21">
      <c r="A21" s="75">
        <v>8.0</v>
      </c>
      <c r="B21" s="76" t="s">
        <v>258</v>
      </c>
      <c r="C21" s="75" t="s">
        <v>21</v>
      </c>
      <c r="D21" s="83">
        <v>1.0</v>
      </c>
      <c r="E21" s="75" t="s">
        <v>47</v>
      </c>
      <c r="F21" s="75" t="s">
        <v>259</v>
      </c>
      <c r="G21" s="75" t="s">
        <v>38</v>
      </c>
      <c r="H21" s="81">
        <v>2416.67</v>
      </c>
      <c r="I21" s="80"/>
      <c r="J21" s="39">
        <f t="shared" si="2"/>
        <v>2416.67</v>
      </c>
    </row>
    <row r="22">
      <c r="A22" s="75">
        <v>9.0</v>
      </c>
      <c r="B22" s="76" t="s">
        <v>260</v>
      </c>
      <c r="C22" s="75" t="s">
        <v>261</v>
      </c>
      <c r="D22" s="83">
        <v>1.0</v>
      </c>
      <c r="E22" s="75" t="s">
        <v>47</v>
      </c>
      <c r="F22" s="75" t="s">
        <v>263</v>
      </c>
      <c r="G22" s="75" t="s">
        <v>38</v>
      </c>
      <c r="H22" s="81">
        <v>110.0</v>
      </c>
      <c r="I22" s="80"/>
      <c r="J22" s="39">
        <f t="shared" si="2"/>
        <v>110</v>
      </c>
    </row>
    <row r="23">
      <c r="A23" s="75">
        <v>10.0</v>
      </c>
      <c r="B23" s="76" t="s">
        <v>264</v>
      </c>
      <c r="C23" s="75" t="s">
        <v>261</v>
      </c>
      <c r="D23" s="83">
        <v>1.0</v>
      </c>
      <c r="E23" s="75" t="s">
        <v>47</v>
      </c>
      <c r="F23" s="75" t="s">
        <v>263</v>
      </c>
      <c r="G23" s="75" t="s">
        <v>38</v>
      </c>
      <c r="H23" s="81">
        <v>868.0</v>
      </c>
      <c r="I23" s="80"/>
      <c r="J23" s="39">
        <f t="shared" si="2"/>
        <v>868</v>
      </c>
    </row>
    <row r="24">
      <c r="A24" s="75">
        <v>11.0</v>
      </c>
      <c r="B24" s="76" t="s">
        <v>265</v>
      </c>
      <c r="C24" s="75" t="s">
        <v>54</v>
      </c>
      <c r="D24" s="83">
        <v>1.3</v>
      </c>
      <c r="E24" s="75" t="s">
        <v>148</v>
      </c>
      <c r="F24" s="75" t="s">
        <v>266</v>
      </c>
      <c r="G24" s="75" t="s">
        <v>38</v>
      </c>
      <c r="H24" s="81">
        <v>1541.0</v>
      </c>
      <c r="I24" s="80"/>
      <c r="J24" s="39">
        <f t="shared" si="2"/>
        <v>2003.3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66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1" si="3">D28*H28</f>
        <v>5500</v>
      </c>
    </row>
    <row r="29">
      <c r="A29" s="75">
        <v>2.0</v>
      </c>
      <c r="B29" s="75" t="s">
        <v>71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15000.0</v>
      </c>
      <c r="I29" s="88"/>
      <c r="J29" s="39">
        <f t="shared" si="3"/>
        <v>15000</v>
      </c>
    </row>
    <row r="30">
      <c r="A30" s="75">
        <v>3.0</v>
      </c>
      <c r="B30" s="75" t="s">
        <v>72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3000.0</v>
      </c>
      <c r="I30" s="88"/>
      <c r="J30" s="39">
        <f t="shared" si="3"/>
        <v>3000</v>
      </c>
    </row>
    <row r="31">
      <c r="A31" s="75">
        <v>4.0</v>
      </c>
      <c r="B31" s="75" t="s">
        <v>141</v>
      </c>
      <c r="C31" s="86"/>
      <c r="D31" s="87">
        <v>1.0</v>
      </c>
      <c r="E31" s="75" t="s">
        <v>47</v>
      </c>
      <c r="F31" s="89"/>
      <c r="G31" s="75" t="s">
        <v>68</v>
      </c>
      <c r="H31" s="81">
        <v>300.0</v>
      </c>
      <c r="I31" s="88"/>
      <c r="J31" s="39">
        <f t="shared" si="3"/>
        <v>300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283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76400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10452.83667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26800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113652.8367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219</v>
      </c>
      <c r="C10" s="75" t="s">
        <v>21</v>
      </c>
      <c r="D10" s="77">
        <v>1.75</v>
      </c>
      <c r="E10" s="75" t="s">
        <v>225</v>
      </c>
      <c r="F10" s="78" t="s">
        <v>268</v>
      </c>
      <c r="G10" s="75" t="s">
        <v>193</v>
      </c>
      <c r="H10" s="79">
        <v>40000.0</v>
      </c>
      <c r="I10" s="81">
        <v>38000.0</v>
      </c>
      <c r="J10" s="39">
        <f t="shared" ref="J10:J11" si="1">D10*H10</f>
        <v>70000</v>
      </c>
    </row>
    <row r="11">
      <c r="A11" s="75">
        <v>2.0</v>
      </c>
      <c r="B11" s="76" t="s">
        <v>287</v>
      </c>
      <c r="C11" s="75" t="s">
        <v>21</v>
      </c>
      <c r="D11" s="77">
        <v>0.16</v>
      </c>
      <c r="E11" s="75" t="s">
        <v>148</v>
      </c>
      <c r="F11" s="78" t="s">
        <v>255</v>
      </c>
      <c r="G11" s="75" t="s">
        <v>193</v>
      </c>
      <c r="H11" s="79">
        <v>40000.0</v>
      </c>
      <c r="I11" s="81">
        <v>38000.0</v>
      </c>
      <c r="J11" s="39">
        <f t="shared" si="1"/>
        <v>6400</v>
      </c>
    </row>
    <row r="12">
      <c r="A12" s="40" t="s">
        <v>288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1/21</f>
        <v>0.04761904762</v>
      </c>
      <c r="E14" s="75" t="s">
        <v>35</v>
      </c>
      <c r="F14" s="75" t="s">
        <v>251</v>
      </c>
      <c r="G14" s="75" t="s">
        <v>38</v>
      </c>
      <c r="H14" s="81">
        <v>25000.0</v>
      </c>
      <c r="I14" s="80"/>
      <c r="J14" s="39">
        <f t="shared" ref="J14:J25" si="2">D14*H14</f>
        <v>1190.47619</v>
      </c>
    </row>
    <row r="15">
      <c r="A15" s="75">
        <v>2.0</v>
      </c>
      <c r="B15" s="76" t="s">
        <v>39</v>
      </c>
      <c r="C15" s="75" t="s">
        <v>21</v>
      </c>
      <c r="D15" s="77">
        <f>4/21</f>
        <v>0.1904761905</v>
      </c>
      <c r="E15" s="75" t="s">
        <v>40</v>
      </c>
      <c r="F15" s="75" t="s">
        <v>253</v>
      </c>
      <c r="G15" s="75" t="s">
        <v>38</v>
      </c>
      <c r="H15" s="81">
        <v>13000.0</v>
      </c>
      <c r="I15" s="80"/>
      <c r="J15" s="39">
        <f t="shared" si="2"/>
        <v>2476.190476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256</v>
      </c>
      <c r="C20" s="75" t="s">
        <v>54</v>
      </c>
      <c r="D20" s="94">
        <v>0.9</v>
      </c>
      <c r="E20" s="75" t="s">
        <v>148</v>
      </c>
      <c r="F20" s="75" t="s">
        <v>257</v>
      </c>
      <c r="G20" s="75" t="s">
        <v>38</v>
      </c>
      <c r="H20" s="81">
        <v>4212.0</v>
      </c>
      <c r="I20" s="80"/>
      <c r="J20" s="95">
        <f t="shared" si="2"/>
        <v>3790.8</v>
      </c>
    </row>
    <row r="21">
      <c r="A21" s="75">
        <v>8.0</v>
      </c>
      <c r="B21" s="76" t="s">
        <v>258</v>
      </c>
      <c r="C21" s="75" t="s">
        <v>21</v>
      </c>
      <c r="D21" s="83">
        <v>1.0</v>
      </c>
      <c r="E21" s="75" t="s">
        <v>47</v>
      </c>
      <c r="F21" s="75" t="s">
        <v>259</v>
      </c>
      <c r="G21" s="75" t="s">
        <v>38</v>
      </c>
      <c r="H21" s="81">
        <v>2416.67</v>
      </c>
      <c r="I21" s="80"/>
      <c r="J21" s="39">
        <f t="shared" si="2"/>
        <v>2416.67</v>
      </c>
    </row>
    <row r="22">
      <c r="A22" s="75">
        <v>9.0</v>
      </c>
      <c r="B22" s="76" t="s">
        <v>260</v>
      </c>
      <c r="C22" s="75" t="s">
        <v>261</v>
      </c>
      <c r="D22" s="83">
        <v>1.0</v>
      </c>
      <c r="E22" s="75" t="s">
        <v>47</v>
      </c>
      <c r="F22" s="75" t="s">
        <v>263</v>
      </c>
      <c r="G22" s="75" t="s">
        <v>38</v>
      </c>
      <c r="H22" s="81">
        <v>110.0</v>
      </c>
      <c r="I22" s="80"/>
      <c r="J22" s="39">
        <f t="shared" si="2"/>
        <v>110</v>
      </c>
    </row>
    <row r="23">
      <c r="A23" s="75">
        <v>10.0</v>
      </c>
      <c r="B23" s="76" t="s">
        <v>264</v>
      </c>
      <c r="C23" s="75" t="s">
        <v>261</v>
      </c>
      <c r="D23" s="83">
        <v>1.0</v>
      </c>
      <c r="E23" s="75" t="s">
        <v>47</v>
      </c>
      <c r="F23" s="75" t="s">
        <v>263</v>
      </c>
      <c r="G23" s="75" t="s">
        <v>38</v>
      </c>
      <c r="H23" s="81">
        <v>868.0</v>
      </c>
      <c r="I23" s="80"/>
      <c r="J23" s="39">
        <f t="shared" si="2"/>
        <v>868</v>
      </c>
    </row>
    <row r="24">
      <c r="A24" s="75">
        <v>11.0</v>
      </c>
      <c r="B24" s="76" t="s">
        <v>265</v>
      </c>
      <c r="C24" s="75" t="s">
        <v>54</v>
      </c>
      <c r="D24" s="83">
        <v>1.3</v>
      </c>
      <c r="E24" s="75" t="s">
        <v>148</v>
      </c>
      <c r="F24" s="75" t="s">
        <v>266</v>
      </c>
      <c r="G24" s="75" t="s">
        <v>38</v>
      </c>
      <c r="H24" s="81">
        <v>1541.0</v>
      </c>
      <c r="I24" s="80"/>
      <c r="J24" s="39">
        <f t="shared" si="2"/>
        <v>2003.3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66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1" si="3">D28*H28</f>
        <v>5500</v>
      </c>
    </row>
    <row r="29">
      <c r="A29" s="75">
        <v>2.0</v>
      </c>
      <c r="B29" s="75" t="s">
        <v>71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18000.0</v>
      </c>
      <c r="I29" s="88"/>
      <c r="J29" s="39">
        <f t="shared" si="3"/>
        <v>18000</v>
      </c>
    </row>
    <row r="30">
      <c r="A30" s="75">
        <v>3.0</v>
      </c>
      <c r="B30" s="75" t="s">
        <v>72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3000.0</v>
      </c>
      <c r="I30" s="88"/>
      <c r="J30" s="39">
        <f t="shared" si="3"/>
        <v>3000</v>
      </c>
    </row>
    <row r="31">
      <c r="A31" s="75">
        <v>4.0</v>
      </c>
      <c r="B31" s="75" t="s">
        <v>141</v>
      </c>
      <c r="C31" s="86"/>
      <c r="D31" s="87">
        <v>1.0</v>
      </c>
      <c r="E31" s="75" t="s">
        <v>47</v>
      </c>
      <c r="F31" s="89"/>
      <c r="G31" s="75" t="s">
        <v>68</v>
      </c>
      <c r="H31" s="81">
        <v>300.0</v>
      </c>
      <c r="I31" s="88"/>
      <c r="J31" s="39">
        <f t="shared" si="3"/>
        <v>300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286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3352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12000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15352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 t="s">
        <v>21</v>
      </c>
      <c r="D10" s="77">
        <f>0.72/3</f>
        <v>0.24</v>
      </c>
      <c r="E10" s="75" t="s">
        <v>23</v>
      </c>
      <c r="F10" s="78" t="s">
        <v>290</v>
      </c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 t="s">
        <v>21</v>
      </c>
      <c r="D11" s="77">
        <f>1/10</f>
        <v>0.1</v>
      </c>
      <c r="E11" s="75" t="s">
        <v>23</v>
      </c>
      <c r="F11" s="78" t="s">
        <v>291</v>
      </c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5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39">
        <f t="shared" si="2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297</v>
      </c>
      <c r="C20" s="75" t="s">
        <v>54</v>
      </c>
      <c r="D20" s="83">
        <v>1.3</v>
      </c>
      <c r="E20" s="75" t="s">
        <v>148</v>
      </c>
      <c r="F20" s="75" t="s">
        <v>298</v>
      </c>
      <c r="G20" s="75" t="s">
        <v>38</v>
      </c>
      <c r="H20" s="81">
        <v>1541.0</v>
      </c>
      <c r="I20" s="80"/>
      <c r="J20" s="39">
        <f t="shared" si="2"/>
        <v>2003.3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D24" s="113"/>
      <c r="I24" s="80"/>
      <c r="J24" s="8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66</v>
      </c>
      <c r="C28" s="86"/>
      <c r="D28" s="87">
        <v>1.0</v>
      </c>
      <c r="E28" s="75" t="s">
        <v>47</v>
      </c>
      <c r="F28" s="86"/>
      <c r="G28" s="75" t="s">
        <v>68</v>
      </c>
      <c r="H28" s="81">
        <v>2500.0</v>
      </c>
      <c r="I28" s="88"/>
      <c r="J28" s="39">
        <f t="shared" ref="J28:J31" si="3">D28*H28</f>
        <v>2500</v>
      </c>
    </row>
    <row r="29">
      <c r="A29" s="75">
        <v>2.0</v>
      </c>
      <c r="B29" s="75" t="s">
        <v>71</v>
      </c>
      <c r="C29" s="86"/>
      <c r="D29" s="87">
        <v>1.0</v>
      </c>
      <c r="E29" s="75" t="s">
        <v>47</v>
      </c>
      <c r="F29" s="86"/>
      <c r="G29" s="75" t="s">
        <v>68</v>
      </c>
      <c r="H29" s="81">
        <v>8000.0</v>
      </c>
      <c r="I29" s="88"/>
      <c r="J29" s="39">
        <f t="shared" si="3"/>
        <v>8000</v>
      </c>
    </row>
    <row r="30">
      <c r="A30" s="75">
        <v>3.0</v>
      </c>
      <c r="B30" s="75" t="s">
        <v>72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/>
      <c r="C31" s="86"/>
      <c r="D31" s="87"/>
      <c r="E31" s="75"/>
      <c r="F31" s="89"/>
      <c r="G31" s="75"/>
      <c r="H31" s="81"/>
      <c r="I31" s="88"/>
      <c r="J31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289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20840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3352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40192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294</v>
      </c>
      <c r="C10" s="75" t="s">
        <v>21</v>
      </c>
      <c r="D10" s="77">
        <f>0.72/3</f>
        <v>0.24</v>
      </c>
      <c r="E10" s="75" t="s">
        <v>23</v>
      </c>
      <c r="F10" s="78" t="s">
        <v>290</v>
      </c>
      <c r="G10" s="75" t="s">
        <v>295</v>
      </c>
      <c r="H10" s="79">
        <v>61000.0</v>
      </c>
      <c r="I10" s="81">
        <v>58000.0</v>
      </c>
      <c r="J10" s="39">
        <f t="shared" ref="J10:J11" si="1">D10*H10</f>
        <v>14640</v>
      </c>
    </row>
    <row r="11">
      <c r="A11" s="75">
        <v>2.0</v>
      </c>
      <c r="B11" s="76" t="s">
        <v>296</v>
      </c>
      <c r="C11" s="75" t="s">
        <v>21</v>
      </c>
      <c r="D11" s="77">
        <f>1/10</f>
        <v>0.1</v>
      </c>
      <c r="E11" s="75" t="s">
        <v>23</v>
      </c>
      <c r="F11" s="78" t="s">
        <v>291</v>
      </c>
      <c r="G11" s="75" t="s">
        <v>295</v>
      </c>
      <c r="H11" s="79">
        <v>62000.0</v>
      </c>
      <c r="I11" s="81"/>
      <c r="J11" s="39">
        <f t="shared" si="1"/>
        <v>6200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5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39">
        <f t="shared" si="2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297</v>
      </c>
      <c r="C20" s="75" t="s">
        <v>54</v>
      </c>
      <c r="D20" s="83">
        <v>1.3</v>
      </c>
      <c r="E20" s="75" t="s">
        <v>148</v>
      </c>
      <c r="F20" s="75" t="s">
        <v>298</v>
      </c>
      <c r="G20" s="75" t="s">
        <v>38</v>
      </c>
      <c r="H20" s="81">
        <v>1541.0</v>
      </c>
      <c r="I20" s="80"/>
      <c r="J20" s="39">
        <f t="shared" si="2"/>
        <v>2003.3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D24" s="113"/>
      <c r="I24" s="80"/>
      <c r="J24" s="8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66</v>
      </c>
      <c r="C28" s="86"/>
      <c r="D28" s="87">
        <v>1.0</v>
      </c>
      <c r="E28" s="75" t="s">
        <v>47</v>
      </c>
      <c r="F28" s="86"/>
      <c r="G28" s="75" t="s">
        <v>68</v>
      </c>
      <c r="H28" s="81">
        <v>2500.0</v>
      </c>
      <c r="I28" s="88"/>
      <c r="J28" s="39">
        <f>D28*H28</f>
        <v>2500</v>
      </c>
    </row>
    <row r="29">
      <c r="A29" s="75">
        <v>2.0</v>
      </c>
      <c r="B29" s="75" t="s">
        <v>71</v>
      </c>
      <c r="C29" s="86"/>
      <c r="D29" s="87">
        <v>1.0</v>
      </c>
      <c r="E29" s="75" t="s">
        <v>47</v>
      </c>
      <c r="F29" s="86"/>
      <c r="G29" s="75" t="s">
        <v>68</v>
      </c>
      <c r="H29" s="81">
        <v>8000.0</v>
      </c>
      <c r="I29" s="88"/>
      <c r="J29" s="89">
        <v>12000.0</v>
      </c>
    </row>
    <row r="30">
      <c r="A30" s="75">
        <v>3.0</v>
      </c>
      <c r="B30" s="75" t="s">
        <v>72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ref="J30:J31" si="3">D30*H30</f>
        <v>1500</v>
      </c>
    </row>
    <row r="31">
      <c r="A31" s="75">
        <v>4.0</v>
      </c>
      <c r="B31" s="75"/>
      <c r="C31" s="86"/>
      <c r="D31" s="87"/>
      <c r="E31" s="75"/>
      <c r="F31" s="89"/>
      <c r="G31" s="75"/>
      <c r="H31" s="81"/>
      <c r="I31" s="88"/>
      <c r="J31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292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11800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3352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12000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27152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299</v>
      </c>
      <c r="C10" s="75" t="s">
        <v>21</v>
      </c>
      <c r="D10" s="77">
        <v>0.2</v>
      </c>
      <c r="E10" s="75" t="s">
        <v>23</v>
      </c>
      <c r="F10" s="78" t="s">
        <v>300</v>
      </c>
      <c r="G10" s="75" t="s">
        <v>301</v>
      </c>
      <c r="H10" s="79">
        <v>59000.0</v>
      </c>
      <c r="I10" s="81">
        <v>27500.0</v>
      </c>
      <c r="J10" s="39">
        <f t="shared" ref="J10:J11" si="1">D10*H10</f>
        <v>11800</v>
      </c>
    </row>
    <row r="11">
      <c r="A11" s="75">
        <v>2.0</v>
      </c>
      <c r="B11" s="76"/>
      <c r="C11" s="75" t="s">
        <v>21</v>
      </c>
      <c r="D11" s="77"/>
      <c r="E11" s="75" t="s">
        <v>23</v>
      </c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37</v>
      </c>
      <c r="G14" s="75" t="s">
        <v>38</v>
      </c>
      <c r="H14" s="81">
        <v>25000.0</v>
      </c>
      <c r="I14" s="80"/>
      <c r="J14" s="39">
        <f t="shared" ref="J14:J25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39">
        <f t="shared" si="2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297</v>
      </c>
      <c r="C20" s="75" t="s">
        <v>54</v>
      </c>
      <c r="D20" s="83">
        <v>1.3</v>
      </c>
      <c r="E20" s="75" t="s">
        <v>148</v>
      </c>
      <c r="F20" s="75" t="s">
        <v>298</v>
      </c>
      <c r="G20" s="75" t="s">
        <v>38</v>
      </c>
      <c r="H20" s="81">
        <v>1541.0</v>
      </c>
      <c r="I20" s="80"/>
      <c r="J20" s="39">
        <f t="shared" si="2"/>
        <v>2003.3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D24" s="113"/>
      <c r="I24" s="80"/>
      <c r="J24" s="8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66</v>
      </c>
      <c r="C28" s="86"/>
      <c r="D28" s="87">
        <v>1.0</v>
      </c>
      <c r="E28" s="75" t="s">
        <v>47</v>
      </c>
      <c r="F28" s="86"/>
      <c r="G28" s="75" t="s">
        <v>68</v>
      </c>
      <c r="H28" s="81">
        <v>2500.0</v>
      </c>
      <c r="I28" s="88"/>
      <c r="J28" s="39">
        <f t="shared" ref="J28:J31" si="3">D28*H28</f>
        <v>2500</v>
      </c>
    </row>
    <row r="29">
      <c r="A29" s="75">
        <v>2.0</v>
      </c>
      <c r="B29" s="75" t="s">
        <v>71</v>
      </c>
      <c r="C29" s="86"/>
      <c r="D29" s="87">
        <v>1.0</v>
      </c>
      <c r="E29" s="75" t="s">
        <v>47</v>
      </c>
      <c r="F29" s="86"/>
      <c r="G29" s="75" t="s">
        <v>68</v>
      </c>
      <c r="H29" s="81">
        <v>8000.0</v>
      </c>
      <c r="I29" s="88"/>
      <c r="J29" s="39">
        <f t="shared" si="3"/>
        <v>8000</v>
      </c>
    </row>
    <row r="30">
      <c r="A30" s="75">
        <v>3.0</v>
      </c>
      <c r="B30" s="75" t="s">
        <v>72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/>
      <c r="C31" s="86"/>
      <c r="D31" s="87"/>
      <c r="E31" s="75"/>
      <c r="F31" s="89"/>
      <c r="G31" s="75"/>
      <c r="H31" s="81"/>
      <c r="I31" s="88"/>
      <c r="J31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302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110000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3082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12000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125082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304</v>
      </c>
      <c r="C10" s="75" t="s">
        <v>21</v>
      </c>
      <c r="D10" s="77">
        <v>1.0</v>
      </c>
      <c r="E10" s="75" t="s">
        <v>23</v>
      </c>
      <c r="F10" s="78" t="s">
        <v>305</v>
      </c>
      <c r="G10" s="75" t="s">
        <v>306</v>
      </c>
      <c r="H10" s="79">
        <v>110000.0</v>
      </c>
      <c r="I10" s="81"/>
      <c r="J10" s="39">
        <f t="shared" ref="J10:J11" si="1">D10*H10</f>
        <v>110000</v>
      </c>
    </row>
    <row r="11">
      <c r="A11" s="75">
        <v>2.0</v>
      </c>
      <c r="B11" s="76"/>
      <c r="C11" s="75" t="s">
        <v>21</v>
      </c>
      <c r="D11" s="77"/>
      <c r="E11" s="75" t="s">
        <v>23</v>
      </c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/>
      <c r="E14" s="75" t="s">
        <v>35</v>
      </c>
      <c r="F14" s="75"/>
      <c r="G14" s="75" t="s">
        <v>38</v>
      </c>
      <c r="H14" s="81">
        <v>25000.0</v>
      </c>
      <c r="I14" s="80"/>
      <c r="J14" s="39">
        <f t="shared" ref="J14:J25" si="2">D14*H14</f>
        <v>0</v>
      </c>
    </row>
    <row r="15">
      <c r="A15" s="75">
        <v>2.0</v>
      </c>
      <c r="B15" s="76" t="s">
        <v>39</v>
      </c>
      <c r="C15" s="75" t="s">
        <v>21</v>
      </c>
      <c r="D15" s="77"/>
      <c r="E15" s="75" t="s">
        <v>40</v>
      </c>
      <c r="F15" s="75"/>
      <c r="G15" s="75" t="s">
        <v>38</v>
      </c>
      <c r="H15" s="81">
        <v>13000.0</v>
      </c>
      <c r="I15" s="80"/>
      <c r="J15" s="39">
        <f t="shared" si="2"/>
        <v>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297</v>
      </c>
      <c r="C20" s="75" t="s">
        <v>54</v>
      </c>
      <c r="D20" s="83">
        <v>1.3</v>
      </c>
      <c r="E20" s="75" t="s">
        <v>148</v>
      </c>
      <c r="F20" s="75" t="s">
        <v>298</v>
      </c>
      <c r="G20" s="75" t="s">
        <v>38</v>
      </c>
      <c r="H20" s="81">
        <v>1541.0</v>
      </c>
      <c r="I20" s="80"/>
      <c r="J20" s="39">
        <f t="shared" si="2"/>
        <v>2003.3</v>
      </c>
    </row>
    <row r="21">
      <c r="A21" s="75">
        <v>8.0</v>
      </c>
      <c r="B21" s="76" t="s">
        <v>314</v>
      </c>
      <c r="C21" s="75" t="s">
        <v>21</v>
      </c>
      <c r="D21" s="83">
        <v>1.0</v>
      </c>
      <c r="E21" s="75" t="s">
        <v>47</v>
      </c>
      <c r="F21" s="75" t="s">
        <v>315</v>
      </c>
      <c r="G21" s="75" t="s">
        <v>316</v>
      </c>
      <c r="H21" s="81">
        <f>50000/100</f>
        <v>500</v>
      </c>
      <c r="I21" s="80"/>
      <c r="J21" s="39">
        <f t="shared" si="2"/>
        <v>500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D24" s="113"/>
      <c r="I24" s="80"/>
      <c r="J24" s="8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318</v>
      </c>
      <c r="C28" s="86"/>
      <c r="D28" s="87">
        <v>1.0</v>
      </c>
      <c r="E28" s="75" t="s">
        <v>47</v>
      </c>
      <c r="F28" s="86"/>
      <c r="G28" s="75" t="s">
        <v>68</v>
      </c>
      <c r="H28" s="81">
        <v>2500.0</v>
      </c>
      <c r="I28" s="88"/>
      <c r="J28" s="39">
        <f t="shared" ref="J28:J31" si="3">D28*H28</f>
        <v>2500</v>
      </c>
    </row>
    <row r="29">
      <c r="A29" s="75">
        <v>2.0</v>
      </c>
      <c r="B29" s="75" t="s">
        <v>319</v>
      </c>
      <c r="C29" s="86"/>
      <c r="D29" s="87">
        <v>1.0</v>
      </c>
      <c r="E29" s="75" t="s">
        <v>47</v>
      </c>
      <c r="F29" s="86"/>
      <c r="G29" s="75" t="s">
        <v>68</v>
      </c>
      <c r="H29" s="81">
        <v>8000.0</v>
      </c>
      <c r="I29" s="88"/>
      <c r="J29" s="39">
        <f t="shared" si="3"/>
        <v>8000</v>
      </c>
    </row>
    <row r="30">
      <c r="A30" s="75">
        <v>3.0</v>
      </c>
      <c r="B30" s="75" t="s">
        <v>321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/>
      <c r="C31" s="86"/>
      <c r="D31" s="87"/>
      <c r="E31" s="75"/>
      <c r="F31" s="89"/>
      <c r="G31" s="75"/>
      <c r="H31" s="81"/>
      <c r="I31" s="88"/>
      <c r="J31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5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14" t="s">
        <v>303</v>
      </c>
      <c r="C2" s="115" t="s">
        <v>3</v>
      </c>
      <c r="D2" s="116"/>
      <c r="E2" s="65"/>
      <c r="F2" s="36"/>
      <c r="G2" s="36"/>
      <c r="H2" s="36"/>
      <c r="I2" s="36"/>
      <c r="J2" s="36"/>
    </row>
    <row r="3">
      <c r="A3" s="60"/>
      <c r="B3" s="117" t="s">
        <v>4</v>
      </c>
      <c r="C3" s="118">
        <f>SUM(J10:J11)</f>
        <v>104830</v>
      </c>
      <c r="D3" s="116"/>
      <c r="E3" s="65"/>
      <c r="F3" s="36"/>
      <c r="G3" s="36"/>
      <c r="H3" s="36"/>
      <c r="I3" s="36"/>
      <c r="J3" s="36"/>
    </row>
    <row r="4">
      <c r="A4" s="60"/>
      <c r="B4" s="119" t="s">
        <v>6</v>
      </c>
      <c r="C4" s="120">
        <f>SUM(J14:J21)</f>
        <v>4183.4555</v>
      </c>
      <c r="D4" s="116"/>
      <c r="E4" s="65"/>
      <c r="F4" s="36"/>
      <c r="G4" s="36"/>
      <c r="H4" s="36"/>
      <c r="I4" s="36"/>
      <c r="J4" s="36"/>
    </row>
    <row r="5">
      <c r="A5" s="60"/>
      <c r="B5" s="121" t="s">
        <v>7</v>
      </c>
      <c r="C5" s="122">
        <f>SUM(J28:J31)</f>
        <v>54000</v>
      </c>
      <c r="D5" s="116"/>
      <c r="E5" s="65"/>
      <c r="F5" s="36"/>
      <c r="G5" s="36"/>
      <c r="H5" s="36"/>
      <c r="I5" s="36"/>
      <c r="J5" s="36"/>
    </row>
    <row r="6">
      <c r="A6" s="60"/>
      <c r="B6" s="123" t="s">
        <v>8</v>
      </c>
      <c r="C6" s="124">
        <f>SUM(C3:D5)</f>
        <v>163013.4555</v>
      </c>
      <c r="D6" s="11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307</v>
      </c>
      <c r="C10" s="75" t="s">
        <v>21</v>
      </c>
      <c r="D10" s="77">
        <v>3.0</v>
      </c>
      <c r="E10" s="75" t="s">
        <v>225</v>
      </c>
      <c r="F10" s="78" t="s">
        <v>308</v>
      </c>
      <c r="G10" s="75" t="s">
        <v>193</v>
      </c>
      <c r="H10" s="79">
        <v>34500.0</v>
      </c>
      <c r="I10" s="81">
        <v>31500.0</v>
      </c>
      <c r="J10" s="95">
        <f t="shared" ref="J10:J11" si="1">D10*H10</f>
        <v>103500</v>
      </c>
    </row>
    <row r="11">
      <c r="A11" s="75">
        <v>2.0</v>
      </c>
      <c r="B11" s="76" t="s">
        <v>309</v>
      </c>
      <c r="C11" s="75" t="s">
        <v>54</v>
      </c>
      <c r="D11" s="77">
        <f>1/50</f>
        <v>0.02</v>
      </c>
      <c r="E11" s="75" t="s">
        <v>23</v>
      </c>
      <c r="F11" s="78" t="s">
        <v>310</v>
      </c>
      <c r="G11" s="75" t="s">
        <v>311</v>
      </c>
      <c r="H11" s="79">
        <v>66500.0</v>
      </c>
      <c r="I11" s="81"/>
      <c r="J11" s="39">
        <f t="shared" si="1"/>
        <v>1330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313</v>
      </c>
      <c r="G14" s="75" t="s">
        <v>38</v>
      </c>
      <c r="H14" s="81">
        <v>25000.0</v>
      </c>
      <c r="I14" s="80"/>
      <c r="J14" s="39">
        <f t="shared" ref="J14:J25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39">
        <f t="shared" si="2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323</v>
      </c>
      <c r="C20" s="75" t="s">
        <v>54</v>
      </c>
      <c r="D20" s="94">
        <f t="shared" ref="D20:D21" si="3">1.5/10</f>
        <v>0.15</v>
      </c>
      <c r="E20" s="75" t="s">
        <v>148</v>
      </c>
      <c r="F20" s="75" t="s">
        <v>324</v>
      </c>
      <c r="G20" s="75" t="s">
        <v>325</v>
      </c>
      <c r="H20" s="81">
        <v>15272.0</v>
      </c>
      <c r="I20" s="80"/>
      <c r="J20" s="95">
        <f t="shared" si="2"/>
        <v>2290.8</v>
      </c>
    </row>
    <row r="21">
      <c r="A21" s="75">
        <v>8.0</v>
      </c>
      <c r="B21" s="76" t="s">
        <v>326</v>
      </c>
      <c r="C21" s="75" t="s">
        <v>54</v>
      </c>
      <c r="D21" s="94">
        <f t="shared" si="3"/>
        <v>0.15</v>
      </c>
      <c r="E21" s="75" t="s">
        <v>47</v>
      </c>
      <c r="F21" s="75" t="s">
        <v>324</v>
      </c>
      <c r="G21" s="75" t="s">
        <v>38</v>
      </c>
      <c r="H21" s="81">
        <v>3626.37</v>
      </c>
      <c r="I21" s="80"/>
      <c r="J21" s="39">
        <f t="shared" si="2"/>
        <v>543.9555</v>
      </c>
    </row>
    <row r="22">
      <c r="A22" s="75">
        <v>9.0</v>
      </c>
      <c r="B22" s="76" t="s">
        <v>327</v>
      </c>
      <c r="C22" s="75" t="s">
        <v>261</v>
      </c>
      <c r="D22" s="83">
        <v>1.0</v>
      </c>
      <c r="E22" s="75" t="s">
        <v>148</v>
      </c>
      <c r="F22" s="75"/>
      <c r="G22" s="75" t="s">
        <v>329</v>
      </c>
      <c r="H22" s="81">
        <v>20000.0</v>
      </c>
      <c r="I22" s="80"/>
      <c r="J22" s="39">
        <f t="shared" si="2"/>
        <v>20000</v>
      </c>
    </row>
    <row r="23">
      <c r="A23" s="75">
        <v>10.0</v>
      </c>
      <c r="B23" s="76" t="s">
        <v>330</v>
      </c>
      <c r="C23" s="75" t="s">
        <v>331</v>
      </c>
      <c r="D23" s="83">
        <v>8.0</v>
      </c>
      <c r="E23" s="75" t="s">
        <v>47</v>
      </c>
      <c r="F23" s="75" t="s">
        <v>332</v>
      </c>
      <c r="G23" s="75" t="s">
        <v>333</v>
      </c>
      <c r="H23" s="81">
        <v>333.0</v>
      </c>
      <c r="I23" s="75">
        <v>180.56</v>
      </c>
      <c r="J23" s="39">
        <f t="shared" si="2"/>
        <v>2664</v>
      </c>
    </row>
    <row r="24">
      <c r="A24" s="75">
        <v>11.0</v>
      </c>
      <c r="B24" s="76" t="s">
        <v>334</v>
      </c>
      <c r="C24" s="75" t="s">
        <v>54</v>
      </c>
      <c r="D24" s="82">
        <v>0.9</v>
      </c>
      <c r="E24" s="75" t="s">
        <v>148</v>
      </c>
      <c r="F24" s="75" t="s">
        <v>335</v>
      </c>
      <c r="G24" s="75" t="s">
        <v>38</v>
      </c>
      <c r="H24" s="81">
        <v>583.33</v>
      </c>
      <c r="I24" s="80"/>
      <c r="J24" s="39">
        <f t="shared" si="2"/>
        <v>524.997</v>
      </c>
    </row>
    <row r="25">
      <c r="A25" s="75">
        <v>12.0</v>
      </c>
      <c r="B25" s="76" t="s">
        <v>336</v>
      </c>
      <c r="C25" s="75" t="s">
        <v>58</v>
      </c>
      <c r="D25" s="83">
        <v>1.0</v>
      </c>
      <c r="E25" s="75" t="s">
        <v>47</v>
      </c>
      <c r="F25" s="75"/>
      <c r="G25" s="75" t="s">
        <v>337</v>
      </c>
      <c r="H25" s="81">
        <v>15000.0</v>
      </c>
      <c r="I25" s="80"/>
      <c r="J25" s="39">
        <f t="shared" si="2"/>
        <v>15000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340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10000.0</v>
      </c>
      <c r="I28" s="88"/>
      <c r="J28" s="39">
        <f t="shared" ref="J28:J30" si="4">D28*H28</f>
        <v>10000</v>
      </c>
    </row>
    <row r="29">
      <c r="A29" s="75">
        <v>2.0</v>
      </c>
      <c r="B29" s="75" t="s">
        <v>342</v>
      </c>
      <c r="C29" s="86"/>
      <c r="D29" s="87">
        <v>1.0</v>
      </c>
      <c r="E29" s="75" t="s">
        <v>47</v>
      </c>
      <c r="F29" s="86"/>
      <c r="G29" s="75" t="s">
        <v>68</v>
      </c>
      <c r="H29" s="81">
        <v>40000.0</v>
      </c>
      <c r="I29" s="88"/>
      <c r="J29" s="39">
        <f t="shared" si="4"/>
        <v>40000</v>
      </c>
    </row>
    <row r="30">
      <c r="A30" s="75">
        <v>3.0</v>
      </c>
      <c r="B30" s="75" t="s">
        <v>343</v>
      </c>
      <c r="C30" s="86"/>
      <c r="D30" s="87">
        <v>1.0</v>
      </c>
      <c r="E30" s="75" t="s">
        <v>47</v>
      </c>
      <c r="F30" s="89"/>
      <c r="G30" s="75" t="s">
        <v>68</v>
      </c>
      <c r="H30" s="81">
        <v>4000.0</v>
      </c>
      <c r="I30" s="88"/>
      <c r="J30" s="39">
        <f t="shared" si="4"/>
        <v>4000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5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312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136330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4183.4555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54000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194513.4555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320</v>
      </c>
      <c r="C10" s="75" t="s">
        <v>21</v>
      </c>
      <c r="D10" s="77">
        <v>3.0</v>
      </c>
      <c r="E10" s="75" t="s">
        <v>225</v>
      </c>
      <c r="F10" s="78" t="s">
        <v>308</v>
      </c>
      <c r="G10" s="75" t="s">
        <v>322</v>
      </c>
      <c r="H10" s="79">
        <v>45000.0</v>
      </c>
      <c r="I10" s="81">
        <v>40000.0</v>
      </c>
      <c r="J10" s="95">
        <f t="shared" ref="J10:J11" si="1">D10*H10</f>
        <v>135000</v>
      </c>
    </row>
    <row r="11">
      <c r="A11" s="75">
        <v>2.0</v>
      </c>
      <c r="B11" s="76" t="s">
        <v>309</v>
      </c>
      <c r="C11" s="75" t="s">
        <v>54</v>
      </c>
      <c r="D11" s="77">
        <f>1/50</f>
        <v>0.02</v>
      </c>
      <c r="E11" s="75" t="s">
        <v>23</v>
      </c>
      <c r="F11" s="78" t="s">
        <v>310</v>
      </c>
      <c r="G11" s="75" t="s">
        <v>311</v>
      </c>
      <c r="H11" s="79">
        <v>66500.0</v>
      </c>
      <c r="I11" s="81"/>
      <c r="J11" s="39">
        <f t="shared" si="1"/>
        <v>1330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313</v>
      </c>
      <c r="G14" s="75" t="s">
        <v>38</v>
      </c>
      <c r="H14" s="81">
        <v>25000.0</v>
      </c>
      <c r="I14" s="80"/>
      <c r="J14" s="39">
        <f t="shared" ref="J14:J25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39">
        <f t="shared" si="2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323</v>
      </c>
      <c r="C20" s="75" t="s">
        <v>54</v>
      </c>
      <c r="D20" s="94">
        <f t="shared" ref="D20:D21" si="3">1.5/10</f>
        <v>0.15</v>
      </c>
      <c r="E20" s="75" t="s">
        <v>148</v>
      </c>
      <c r="F20" s="75" t="s">
        <v>324</v>
      </c>
      <c r="G20" s="75" t="s">
        <v>325</v>
      </c>
      <c r="H20" s="81">
        <v>15272.0</v>
      </c>
      <c r="I20" s="80"/>
      <c r="J20" s="95">
        <f t="shared" si="2"/>
        <v>2290.8</v>
      </c>
    </row>
    <row r="21">
      <c r="A21" s="75">
        <v>8.0</v>
      </c>
      <c r="B21" s="76" t="s">
        <v>326</v>
      </c>
      <c r="C21" s="75" t="s">
        <v>54</v>
      </c>
      <c r="D21" s="94">
        <f t="shared" si="3"/>
        <v>0.15</v>
      </c>
      <c r="E21" s="75" t="s">
        <v>47</v>
      </c>
      <c r="F21" s="75" t="s">
        <v>324</v>
      </c>
      <c r="G21" s="75" t="s">
        <v>38</v>
      </c>
      <c r="H21" s="81">
        <v>3626.37</v>
      </c>
      <c r="I21" s="80"/>
      <c r="J21" s="39">
        <f t="shared" si="2"/>
        <v>543.9555</v>
      </c>
    </row>
    <row r="22">
      <c r="A22" s="75">
        <v>9.0</v>
      </c>
      <c r="B22" s="76" t="s">
        <v>327</v>
      </c>
      <c r="C22" s="75" t="s">
        <v>261</v>
      </c>
      <c r="D22" s="83">
        <v>1.0</v>
      </c>
      <c r="E22" s="75" t="s">
        <v>148</v>
      </c>
      <c r="F22" s="75"/>
      <c r="G22" s="75" t="s">
        <v>329</v>
      </c>
      <c r="H22" s="81">
        <v>20000.0</v>
      </c>
      <c r="I22" s="80"/>
      <c r="J22" s="39">
        <f t="shared" si="2"/>
        <v>20000</v>
      </c>
    </row>
    <row r="23">
      <c r="A23" s="75">
        <v>10.0</v>
      </c>
      <c r="B23" s="76" t="s">
        <v>330</v>
      </c>
      <c r="C23" s="75" t="s">
        <v>331</v>
      </c>
      <c r="D23" s="83">
        <v>8.0</v>
      </c>
      <c r="E23" s="75" t="s">
        <v>47</v>
      </c>
      <c r="F23" s="75" t="s">
        <v>332</v>
      </c>
      <c r="G23" s="75" t="s">
        <v>333</v>
      </c>
      <c r="H23" s="81">
        <v>333.0</v>
      </c>
      <c r="I23" s="75">
        <v>180.56</v>
      </c>
      <c r="J23" s="39">
        <f t="shared" si="2"/>
        <v>2664</v>
      </c>
    </row>
    <row r="24">
      <c r="A24" s="75">
        <v>11.0</v>
      </c>
      <c r="B24" s="76" t="s">
        <v>334</v>
      </c>
      <c r="C24" s="75" t="s">
        <v>54</v>
      </c>
      <c r="D24" s="82">
        <v>0.9</v>
      </c>
      <c r="E24" s="75" t="s">
        <v>148</v>
      </c>
      <c r="F24" s="75" t="s">
        <v>335</v>
      </c>
      <c r="G24" s="75" t="s">
        <v>38</v>
      </c>
      <c r="H24" s="81">
        <v>583.33</v>
      </c>
      <c r="I24" s="80"/>
      <c r="J24" s="39">
        <f t="shared" si="2"/>
        <v>524.997</v>
      </c>
    </row>
    <row r="25">
      <c r="A25" s="75">
        <v>12.0</v>
      </c>
      <c r="B25" s="76" t="s">
        <v>336</v>
      </c>
      <c r="C25" s="75" t="s">
        <v>58</v>
      </c>
      <c r="D25" s="83">
        <v>1.0</v>
      </c>
      <c r="E25" s="75" t="s">
        <v>47</v>
      </c>
      <c r="F25" s="75"/>
      <c r="G25" s="75" t="s">
        <v>337</v>
      </c>
      <c r="H25" s="81">
        <v>15000.0</v>
      </c>
      <c r="I25" s="80"/>
      <c r="J25" s="39">
        <f t="shared" si="2"/>
        <v>15000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340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10000.0</v>
      </c>
      <c r="I28" s="88"/>
      <c r="J28" s="39">
        <f t="shared" ref="J28:J30" si="4">D28*H28</f>
        <v>10000</v>
      </c>
    </row>
    <row r="29">
      <c r="A29" s="75">
        <v>2.0</v>
      </c>
      <c r="B29" s="75" t="s">
        <v>342</v>
      </c>
      <c r="C29" s="86"/>
      <c r="D29" s="87">
        <v>1.0</v>
      </c>
      <c r="E29" s="75" t="s">
        <v>47</v>
      </c>
      <c r="F29" s="86"/>
      <c r="G29" s="75" t="s">
        <v>68</v>
      </c>
      <c r="H29" s="81">
        <v>40000.0</v>
      </c>
      <c r="I29" s="88"/>
      <c r="J29" s="39">
        <f t="shared" si="4"/>
        <v>40000</v>
      </c>
    </row>
    <row r="30">
      <c r="A30" s="75">
        <v>3.0</v>
      </c>
      <c r="B30" s="75" t="s">
        <v>343</v>
      </c>
      <c r="C30" s="86"/>
      <c r="D30" s="87">
        <v>1.0</v>
      </c>
      <c r="E30" s="75" t="s">
        <v>47</v>
      </c>
      <c r="F30" s="89"/>
      <c r="G30" s="75" t="s">
        <v>68</v>
      </c>
      <c r="H30" s="81">
        <v>4000.0</v>
      </c>
      <c r="I30" s="88"/>
      <c r="J30" s="39">
        <f t="shared" si="4"/>
        <v>4000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31.88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317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11013.33333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3205.366667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10500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24718.7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338</v>
      </c>
      <c r="C10" s="75" t="s">
        <v>339</v>
      </c>
      <c r="D10" s="77">
        <f>1/6</f>
        <v>0.1666666667</v>
      </c>
      <c r="E10" s="75" t="s">
        <v>225</v>
      </c>
      <c r="F10" s="78" t="s">
        <v>341</v>
      </c>
      <c r="G10" s="75" t="s">
        <v>301</v>
      </c>
      <c r="H10" s="79">
        <v>59000.0</v>
      </c>
      <c r="I10" s="81">
        <v>27500.0</v>
      </c>
      <c r="J10" s="125">
        <f t="shared" ref="J10:J11" si="1">D10*H10</f>
        <v>9833.333333</v>
      </c>
    </row>
    <row r="11">
      <c r="A11" s="75">
        <v>2.0</v>
      </c>
      <c r="B11" s="76" t="s">
        <v>344</v>
      </c>
      <c r="C11" s="75" t="s">
        <v>345</v>
      </c>
      <c r="D11" s="77">
        <v>0.02</v>
      </c>
      <c r="E11" s="75" t="s">
        <v>148</v>
      </c>
      <c r="F11" s="78"/>
      <c r="G11" s="75" t="s">
        <v>301</v>
      </c>
      <c r="H11" s="79">
        <v>59000.0</v>
      </c>
      <c r="I11" s="81">
        <v>27500.0</v>
      </c>
      <c r="J11" s="125">
        <f t="shared" si="1"/>
        <v>1180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1/75</f>
        <v>0.01333333333</v>
      </c>
      <c r="E14" s="75" t="s">
        <v>35</v>
      </c>
      <c r="F14" s="75" t="s">
        <v>346</v>
      </c>
      <c r="G14" s="75" t="s">
        <v>38</v>
      </c>
      <c r="H14" s="81">
        <v>25000.0</v>
      </c>
      <c r="I14" s="80"/>
      <c r="J14" s="39">
        <f t="shared" ref="J14:J21" si="2">D14*H14</f>
        <v>333.3333333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349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350</v>
      </c>
      <c r="C20" s="75" t="s">
        <v>345</v>
      </c>
      <c r="D20" s="94">
        <v>0.4</v>
      </c>
      <c r="E20" s="75" t="s">
        <v>148</v>
      </c>
      <c r="F20" s="75"/>
      <c r="G20" s="75" t="s">
        <v>38</v>
      </c>
      <c r="H20" s="81">
        <f>18000/20</f>
        <v>900</v>
      </c>
      <c r="I20" s="80"/>
      <c r="J20" s="39">
        <f t="shared" si="2"/>
        <v>360</v>
      </c>
    </row>
    <row r="21">
      <c r="A21" s="75">
        <v>8.0</v>
      </c>
      <c r="B21" s="76" t="s">
        <v>351</v>
      </c>
      <c r="C21" s="75" t="s">
        <v>352</v>
      </c>
      <c r="D21" s="83">
        <v>1.0</v>
      </c>
      <c r="E21" s="75"/>
      <c r="F21" s="75"/>
      <c r="G21" s="75" t="s">
        <v>353</v>
      </c>
      <c r="H21" s="127">
        <v>1500.0</v>
      </c>
      <c r="I21" s="80"/>
      <c r="J21" s="39">
        <f t="shared" si="2"/>
        <v>1500</v>
      </c>
    </row>
    <row r="22">
      <c r="A22" s="75"/>
      <c r="B22" s="76"/>
      <c r="C22" s="75"/>
      <c r="D22" s="82"/>
      <c r="E22" s="75"/>
      <c r="F22" s="75"/>
      <c r="G22" s="75"/>
      <c r="H22" s="81"/>
      <c r="I22" s="80"/>
      <c r="J22" s="89"/>
    </row>
    <row r="23">
      <c r="A23" s="75"/>
      <c r="B23" s="76"/>
      <c r="C23" s="75"/>
      <c r="D23" s="83"/>
      <c r="E23" s="75"/>
      <c r="F23" s="75"/>
      <c r="G23" s="75"/>
      <c r="H23" s="81"/>
      <c r="I23" s="80"/>
      <c r="J23" s="89"/>
    </row>
    <row r="24">
      <c r="A24" s="75"/>
      <c r="B24" s="76"/>
      <c r="C24" s="75"/>
      <c r="D24" s="83"/>
      <c r="E24" s="75"/>
      <c r="F24" s="75"/>
      <c r="G24" s="75"/>
      <c r="H24" s="81"/>
      <c r="I24" s="80"/>
      <c r="J24" s="89"/>
    </row>
    <row r="25">
      <c r="A25" s="75"/>
      <c r="B25" s="76"/>
      <c r="C25" s="75"/>
      <c r="D25" s="83"/>
      <c r="E25" s="75"/>
      <c r="F25" s="75"/>
      <c r="G25" s="75"/>
      <c r="H25" s="81"/>
      <c r="I25" s="80"/>
      <c r="J25" s="89"/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3500.0</v>
      </c>
      <c r="I28" s="88"/>
      <c r="J28" s="89">
        <v>1500.0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20000.0</v>
      </c>
      <c r="I29" s="88"/>
      <c r="J29" s="89">
        <v>6000.0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2500.0</v>
      </c>
      <c r="I30" s="88"/>
      <c r="J30" s="89">
        <v>1500.0</v>
      </c>
    </row>
    <row r="31">
      <c r="A31" s="75">
        <v>4.0</v>
      </c>
      <c r="B31" s="75" t="s">
        <v>351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89">
        <v>1500.0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31.88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328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32155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4466.366667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24000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60621.36667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348</v>
      </c>
      <c r="C10" s="75" t="s">
        <v>21</v>
      </c>
      <c r="D10" s="77">
        <v>1.09</v>
      </c>
      <c r="E10" s="75" t="s">
        <v>225</v>
      </c>
      <c r="F10" s="78" t="s">
        <v>341</v>
      </c>
      <c r="G10" s="75" t="s">
        <v>193</v>
      </c>
      <c r="H10" s="79">
        <v>29500.0</v>
      </c>
      <c r="I10" s="81">
        <v>27500.0</v>
      </c>
      <c r="J10" s="39">
        <f t="shared" ref="J10:J11" si="1">D10*H10</f>
        <v>32155</v>
      </c>
    </row>
    <row r="11">
      <c r="A11" s="75"/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1/75</f>
        <v>0.01333333333</v>
      </c>
      <c r="E14" s="75" t="s">
        <v>35</v>
      </c>
      <c r="F14" s="75" t="s">
        <v>346</v>
      </c>
      <c r="G14" s="75" t="s">
        <v>38</v>
      </c>
      <c r="H14" s="81">
        <v>25000.0</v>
      </c>
      <c r="I14" s="80"/>
      <c r="J14" s="39">
        <f t="shared" ref="J14:J25" si="2">D14*H14</f>
        <v>333.3333333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349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354</v>
      </c>
      <c r="C20" s="75" t="s">
        <v>21</v>
      </c>
      <c r="D20" s="94">
        <f>0.45</f>
        <v>0.45</v>
      </c>
      <c r="E20" s="75" t="s">
        <v>148</v>
      </c>
      <c r="F20" s="75" t="s">
        <v>355</v>
      </c>
      <c r="G20" s="75" t="s">
        <v>356</v>
      </c>
      <c r="H20" s="81">
        <f>69000/50</f>
        <v>1380</v>
      </c>
      <c r="I20" s="80"/>
      <c r="J20" s="95">
        <f t="shared" si="2"/>
        <v>621</v>
      </c>
    </row>
    <row r="21">
      <c r="A21" s="19">
        <v>8.0</v>
      </c>
      <c r="B21" s="76" t="s">
        <v>358</v>
      </c>
      <c r="C21" s="75" t="s">
        <v>21</v>
      </c>
      <c r="D21" s="83">
        <v>1.0</v>
      </c>
      <c r="E21" s="75" t="s">
        <v>47</v>
      </c>
      <c r="F21" s="75" t="s">
        <v>359</v>
      </c>
      <c r="G21" s="75" t="s">
        <v>38</v>
      </c>
      <c r="H21" s="79">
        <f>30000/12</f>
        <v>2500</v>
      </c>
      <c r="I21" s="80"/>
      <c r="J21" s="39">
        <f t="shared" si="2"/>
        <v>2500</v>
      </c>
    </row>
    <row r="22">
      <c r="A22" s="75">
        <v>9.0</v>
      </c>
      <c r="B22" s="76" t="s">
        <v>363</v>
      </c>
      <c r="C22" s="75" t="s">
        <v>21</v>
      </c>
      <c r="D22" s="82">
        <f>0.3</f>
        <v>0.3</v>
      </c>
      <c r="E22" s="75" t="s">
        <v>148</v>
      </c>
      <c r="F22" s="75" t="s">
        <v>364</v>
      </c>
      <c r="G22" s="75" t="s">
        <v>38</v>
      </c>
      <c r="H22" s="81">
        <v>1800.0</v>
      </c>
      <c r="I22" s="80"/>
      <c r="J22" s="39">
        <f t="shared" si="2"/>
        <v>540</v>
      </c>
    </row>
    <row r="23">
      <c r="A23" s="75">
        <v>10.0</v>
      </c>
      <c r="B23" s="76" t="s">
        <v>365</v>
      </c>
      <c r="C23" s="75" t="s">
        <v>21</v>
      </c>
      <c r="D23" s="83">
        <v>3.0</v>
      </c>
      <c r="E23" s="75" t="s">
        <v>47</v>
      </c>
      <c r="F23" s="75" t="s">
        <v>366</v>
      </c>
      <c r="G23" s="75" t="s">
        <v>333</v>
      </c>
      <c r="H23" s="81">
        <v>1000.0</v>
      </c>
      <c r="I23" s="80"/>
      <c r="J23" s="39">
        <f t="shared" si="2"/>
        <v>3000</v>
      </c>
    </row>
    <row r="24">
      <c r="A24" s="75">
        <v>11.0</v>
      </c>
      <c r="B24" s="76" t="s">
        <v>161</v>
      </c>
      <c r="C24" s="75" t="s">
        <v>58</v>
      </c>
      <c r="D24" s="83">
        <v>1.0</v>
      </c>
      <c r="E24" s="75" t="s">
        <v>47</v>
      </c>
      <c r="F24" s="75" t="s">
        <v>367</v>
      </c>
      <c r="G24" s="75" t="s">
        <v>163</v>
      </c>
      <c r="H24" s="81">
        <v>10000.0</v>
      </c>
      <c r="I24" s="80"/>
      <c r="J24" s="39">
        <f t="shared" si="2"/>
        <v>10000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3500.0</v>
      </c>
      <c r="I28" s="88"/>
      <c r="J28" s="39">
        <f>D28*H28</f>
        <v>3500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20000.0</v>
      </c>
      <c r="I29" s="88"/>
      <c r="J29" s="89">
        <v>18000.0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2500.0</v>
      </c>
      <c r="I30" s="88"/>
      <c r="J30" s="39">
        <f>D30*H30</f>
        <v>2500</v>
      </c>
    </row>
    <row r="31">
      <c r="A31" s="75">
        <v>4.0</v>
      </c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1.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347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49050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5045.366667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24000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78095.36667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219</v>
      </c>
      <c r="C10" s="75" t="s">
        <v>21</v>
      </c>
      <c r="D10" s="77">
        <v>1.09</v>
      </c>
      <c r="E10" s="75" t="s">
        <v>225</v>
      </c>
      <c r="F10" s="78" t="s">
        <v>341</v>
      </c>
      <c r="G10" s="75" t="s">
        <v>322</v>
      </c>
      <c r="H10" s="79">
        <v>45000.0</v>
      </c>
      <c r="I10" s="81">
        <v>40000.0</v>
      </c>
      <c r="J10" s="39">
        <f t="shared" ref="J10:J11" si="1">D10*H10</f>
        <v>49050</v>
      </c>
    </row>
    <row r="11">
      <c r="A11" s="75"/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1/75</f>
        <v>0.01333333333</v>
      </c>
      <c r="E14" s="75" t="s">
        <v>35</v>
      </c>
      <c r="F14" s="75" t="s">
        <v>346</v>
      </c>
      <c r="G14" s="75" t="s">
        <v>38</v>
      </c>
      <c r="H14" s="81">
        <v>25000.0</v>
      </c>
      <c r="I14" s="80"/>
      <c r="J14" s="39">
        <f t="shared" ref="J14:J25" si="2">D14*H14</f>
        <v>333.3333333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349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372</v>
      </c>
      <c r="C20" s="75" t="s">
        <v>21</v>
      </c>
      <c r="D20" s="94">
        <f>0.45</f>
        <v>0.45</v>
      </c>
      <c r="E20" s="75" t="s">
        <v>148</v>
      </c>
      <c r="F20" s="75" t="s">
        <v>355</v>
      </c>
      <c r="G20" s="75" t="s">
        <v>356</v>
      </c>
      <c r="H20" s="81">
        <f>240000/90</f>
        <v>2666.666667</v>
      </c>
      <c r="I20" s="80"/>
      <c r="J20" s="95">
        <f t="shared" si="2"/>
        <v>1200</v>
      </c>
    </row>
    <row r="21">
      <c r="A21" s="75">
        <v>8.0</v>
      </c>
      <c r="B21" s="76" t="s">
        <v>378</v>
      </c>
      <c r="C21" s="75" t="s">
        <v>21</v>
      </c>
      <c r="D21" s="83">
        <v>1.0</v>
      </c>
      <c r="E21" s="75" t="s">
        <v>47</v>
      </c>
      <c r="F21" s="75" t="s">
        <v>377</v>
      </c>
      <c r="G21" s="75" t="s">
        <v>38</v>
      </c>
      <c r="H21" s="79">
        <v>2500.0</v>
      </c>
      <c r="I21" s="80"/>
      <c r="J21" s="39">
        <f t="shared" si="2"/>
        <v>2500</v>
      </c>
    </row>
    <row r="22">
      <c r="A22" s="75">
        <v>9.0</v>
      </c>
      <c r="B22" s="76" t="s">
        <v>363</v>
      </c>
      <c r="C22" s="75" t="s">
        <v>21</v>
      </c>
      <c r="D22" s="82">
        <f>0.3</f>
        <v>0.3</v>
      </c>
      <c r="E22" s="75" t="s">
        <v>148</v>
      </c>
      <c r="F22" s="75" t="s">
        <v>364</v>
      </c>
      <c r="G22" s="75" t="s">
        <v>38</v>
      </c>
      <c r="H22" s="81">
        <v>1800.0</v>
      </c>
      <c r="I22" s="80"/>
      <c r="J22" s="39">
        <f t="shared" si="2"/>
        <v>540</v>
      </c>
    </row>
    <row r="23">
      <c r="A23" s="75">
        <v>10.0</v>
      </c>
      <c r="B23" s="76" t="s">
        <v>379</v>
      </c>
      <c r="C23" s="75" t="s">
        <v>21</v>
      </c>
      <c r="D23" s="83">
        <v>3.0</v>
      </c>
      <c r="E23" s="75" t="s">
        <v>47</v>
      </c>
      <c r="F23" s="75" t="s">
        <v>366</v>
      </c>
      <c r="G23" s="75" t="s">
        <v>333</v>
      </c>
      <c r="H23" s="81">
        <v>1500.0</v>
      </c>
      <c r="I23" s="80"/>
      <c r="J23" s="39">
        <f t="shared" si="2"/>
        <v>4500</v>
      </c>
    </row>
    <row r="24">
      <c r="A24" s="75">
        <v>11.0</v>
      </c>
      <c r="B24" s="76" t="s">
        <v>161</v>
      </c>
      <c r="C24" s="75" t="s">
        <v>58</v>
      </c>
      <c r="D24" s="83">
        <v>1.0</v>
      </c>
      <c r="E24" s="75" t="s">
        <v>47</v>
      </c>
      <c r="F24" s="75" t="s">
        <v>367</v>
      </c>
      <c r="G24" s="75" t="s">
        <v>163</v>
      </c>
      <c r="H24" s="81">
        <v>10000.0</v>
      </c>
      <c r="I24" s="80"/>
      <c r="J24" s="39">
        <f t="shared" si="2"/>
        <v>10000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3500.0</v>
      </c>
      <c r="I28" s="88"/>
      <c r="J28" s="39">
        <f>D28*H28</f>
        <v>3500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20000.0</v>
      </c>
      <c r="I29" s="88"/>
      <c r="J29" s="89">
        <v>18000.0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2500.0</v>
      </c>
      <c r="I30" s="88"/>
      <c r="J30" s="39">
        <f>D30*H30</f>
        <v>2500</v>
      </c>
    </row>
    <row r="31">
      <c r="A31" s="75">
        <v>4.0</v>
      </c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8" t="s">
        <v>361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29430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4466.366667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59896.36667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369</v>
      </c>
      <c r="C10" s="75" t="s">
        <v>21</v>
      </c>
      <c r="D10" s="77">
        <v>1.09</v>
      </c>
      <c r="E10" s="75" t="s">
        <v>225</v>
      </c>
      <c r="F10" s="78" t="s">
        <v>341</v>
      </c>
      <c r="G10" s="75" t="s">
        <v>370</v>
      </c>
      <c r="H10" s="79">
        <v>27000.0</v>
      </c>
      <c r="I10" s="81"/>
      <c r="J10" s="39">
        <f t="shared" ref="J10:J11" si="1">D10*H10</f>
        <v>29430</v>
      </c>
    </row>
    <row r="11">
      <c r="A11" s="75"/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1/75</f>
        <v>0.01333333333</v>
      </c>
      <c r="E14" s="75" t="s">
        <v>35</v>
      </c>
      <c r="F14" s="75" t="s">
        <v>346</v>
      </c>
      <c r="G14" s="75" t="s">
        <v>38</v>
      </c>
      <c r="H14" s="81">
        <v>25000.0</v>
      </c>
      <c r="I14" s="80"/>
      <c r="J14" s="39">
        <f t="shared" ref="J14:J25" si="2">D14*H14</f>
        <v>333.3333333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349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354</v>
      </c>
      <c r="C20" s="75" t="s">
        <v>21</v>
      </c>
      <c r="D20" s="94">
        <f>0.45</f>
        <v>0.45</v>
      </c>
      <c r="E20" s="75" t="s">
        <v>148</v>
      </c>
      <c r="F20" s="75" t="s">
        <v>355</v>
      </c>
      <c r="G20" s="75" t="s">
        <v>356</v>
      </c>
      <c r="H20" s="81">
        <f>69000/50</f>
        <v>1380</v>
      </c>
      <c r="I20" s="80"/>
      <c r="J20" s="95">
        <f t="shared" si="2"/>
        <v>621</v>
      </c>
    </row>
    <row r="21">
      <c r="A21" s="19">
        <v>8.0</v>
      </c>
      <c r="B21" s="76" t="s">
        <v>358</v>
      </c>
      <c r="C21" s="75" t="s">
        <v>21</v>
      </c>
      <c r="D21" s="83">
        <v>1.0</v>
      </c>
      <c r="E21" s="75" t="s">
        <v>47</v>
      </c>
      <c r="F21" s="75" t="s">
        <v>359</v>
      </c>
      <c r="G21" s="75" t="s">
        <v>38</v>
      </c>
      <c r="H21" s="79">
        <f>30000/12</f>
        <v>2500</v>
      </c>
      <c r="I21" s="80"/>
      <c r="J21" s="39">
        <f t="shared" si="2"/>
        <v>2500</v>
      </c>
    </row>
    <row r="22">
      <c r="A22" s="75">
        <v>9.0</v>
      </c>
      <c r="B22" s="76" t="s">
        <v>363</v>
      </c>
      <c r="C22" s="75" t="s">
        <v>21</v>
      </c>
      <c r="D22" s="82">
        <f>0.3</f>
        <v>0.3</v>
      </c>
      <c r="E22" s="75" t="s">
        <v>148</v>
      </c>
      <c r="F22" s="75" t="s">
        <v>364</v>
      </c>
      <c r="G22" s="75" t="s">
        <v>38</v>
      </c>
      <c r="H22" s="81">
        <v>1800.0</v>
      </c>
      <c r="I22" s="80"/>
      <c r="J22" s="39">
        <f t="shared" si="2"/>
        <v>540</v>
      </c>
    </row>
    <row r="23">
      <c r="A23" s="75">
        <v>10.0</v>
      </c>
      <c r="B23" s="76" t="s">
        <v>365</v>
      </c>
      <c r="C23" s="75" t="s">
        <v>21</v>
      </c>
      <c r="D23" s="83">
        <v>3.0</v>
      </c>
      <c r="E23" s="75" t="s">
        <v>47</v>
      </c>
      <c r="F23" s="75" t="s">
        <v>366</v>
      </c>
      <c r="G23" s="75" t="s">
        <v>333</v>
      </c>
      <c r="H23" s="81">
        <v>1000.0</v>
      </c>
      <c r="I23" s="80"/>
      <c r="J23" s="39">
        <f t="shared" si="2"/>
        <v>3000</v>
      </c>
    </row>
    <row r="24">
      <c r="A24" s="75">
        <v>11.0</v>
      </c>
      <c r="B24" s="76" t="s">
        <v>161</v>
      </c>
      <c r="C24" s="75" t="s">
        <v>58</v>
      </c>
      <c r="D24" s="83">
        <v>1.0</v>
      </c>
      <c r="E24" s="75" t="s">
        <v>47</v>
      </c>
      <c r="F24" s="75" t="s">
        <v>367</v>
      </c>
      <c r="G24" s="75" t="s">
        <v>163</v>
      </c>
      <c r="H24" s="81">
        <v>10000.0</v>
      </c>
      <c r="I24" s="80"/>
      <c r="J24" s="39">
        <f t="shared" si="2"/>
        <v>10000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3500.0</v>
      </c>
      <c r="I28" s="88"/>
      <c r="J28" s="39">
        <f>D28*H28</f>
        <v>3500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15000.0</v>
      </c>
      <c r="I29" s="88"/>
      <c r="J29" s="89">
        <v>20000.0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2500.0</v>
      </c>
      <c r="I30" s="88"/>
      <c r="J30" s="39">
        <f>D30*H30</f>
        <v>2500</v>
      </c>
    </row>
    <row r="31">
      <c r="A31" s="75">
        <v>4.0</v>
      </c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368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18333.33333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2795.366667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24000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45128.7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 t="s">
        <v>21</v>
      </c>
      <c r="D10" s="77">
        <v>1.09</v>
      </c>
      <c r="E10" s="75" t="s">
        <v>225</v>
      </c>
      <c r="F10" s="78" t="s">
        <v>341</v>
      </c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 t="s">
        <v>373</v>
      </c>
      <c r="C11" s="75" t="s">
        <v>21</v>
      </c>
      <c r="D11" s="77">
        <f>1/3</f>
        <v>0.3333333333</v>
      </c>
      <c r="E11" s="75" t="s">
        <v>23</v>
      </c>
      <c r="F11" s="78" t="s">
        <v>374</v>
      </c>
      <c r="G11" s="75" t="s">
        <v>375</v>
      </c>
      <c r="H11" s="79">
        <v>55000.0</v>
      </c>
      <c r="I11" s="81"/>
      <c r="J11" s="39">
        <f t="shared" si="1"/>
        <v>18333.33333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1/75</f>
        <v>0.01333333333</v>
      </c>
      <c r="E14" s="75" t="s">
        <v>35</v>
      </c>
      <c r="F14" s="75" t="s">
        <v>346</v>
      </c>
      <c r="G14" s="75" t="s">
        <v>38</v>
      </c>
      <c r="H14" s="81">
        <v>25000.0</v>
      </c>
      <c r="I14" s="80"/>
      <c r="J14" s="39">
        <f t="shared" ref="J14:J25" si="2">D14*H14</f>
        <v>333.3333333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349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376</v>
      </c>
      <c r="C20" s="75" t="s">
        <v>21</v>
      </c>
      <c r="D20" s="94">
        <f>0.45</f>
        <v>0.45</v>
      </c>
      <c r="E20" s="75" t="s">
        <v>148</v>
      </c>
      <c r="F20" s="75" t="s">
        <v>355</v>
      </c>
      <c r="G20" s="75" t="s">
        <v>356</v>
      </c>
      <c r="H20" s="81">
        <v>1000.0</v>
      </c>
      <c r="I20" s="80"/>
      <c r="J20" s="95">
        <f t="shared" si="2"/>
        <v>450</v>
      </c>
    </row>
    <row r="21">
      <c r="A21" s="75">
        <v>8.0</v>
      </c>
      <c r="B21" s="76" t="s">
        <v>358</v>
      </c>
      <c r="C21" s="75" t="s">
        <v>21</v>
      </c>
      <c r="D21" s="83">
        <v>1.0</v>
      </c>
      <c r="E21" s="75" t="s">
        <v>47</v>
      </c>
      <c r="F21" s="75" t="s">
        <v>377</v>
      </c>
      <c r="G21" s="75" t="s">
        <v>38</v>
      </c>
      <c r="H21" s="79">
        <v>1000.0</v>
      </c>
      <c r="I21" s="80"/>
      <c r="J21" s="39">
        <f t="shared" si="2"/>
        <v>1000</v>
      </c>
    </row>
    <row r="22">
      <c r="A22" s="75">
        <v>9.0</v>
      </c>
      <c r="B22" s="76" t="s">
        <v>363</v>
      </c>
      <c r="C22" s="75" t="s">
        <v>21</v>
      </c>
      <c r="D22" s="82">
        <f>0.3</f>
        <v>0.3</v>
      </c>
      <c r="E22" s="75" t="s">
        <v>148</v>
      </c>
      <c r="F22" s="75" t="s">
        <v>364</v>
      </c>
      <c r="G22" s="75" t="s">
        <v>38</v>
      </c>
      <c r="H22" s="81">
        <v>1800.0</v>
      </c>
      <c r="I22" s="80"/>
      <c r="J22" s="39">
        <f t="shared" si="2"/>
        <v>540</v>
      </c>
    </row>
    <row r="23">
      <c r="A23" s="75">
        <v>10.0</v>
      </c>
      <c r="B23" s="76" t="s">
        <v>365</v>
      </c>
      <c r="C23" s="75" t="s">
        <v>21</v>
      </c>
      <c r="D23" s="83">
        <v>3.0</v>
      </c>
      <c r="E23" s="75" t="s">
        <v>47</v>
      </c>
      <c r="F23" s="75" t="s">
        <v>366</v>
      </c>
      <c r="G23" s="75" t="s">
        <v>333</v>
      </c>
      <c r="H23" s="81">
        <v>1000.0</v>
      </c>
      <c r="I23" s="80"/>
      <c r="J23" s="39">
        <f t="shared" si="2"/>
        <v>3000</v>
      </c>
    </row>
    <row r="24">
      <c r="A24" s="75">
        <v>11.0</v>
      </c>
      <c r="B24" s="76" t="s">
        <v>161</v>
      </c>
      <c r="C24" s="75" t="s">
        <v>58</v>
      </c>
      <c r="D24" s="83">
        <v>1.0</v>
      </c>
      <c r="E24" s="75" t="s">
        <v>47</v>
      </c>
      <c r="F24" s="75" t="s">
        <v>367</v>
      </c>
      <c r="G24" s="75" t="s">
        <v>163</v>
      </c>
      <c r="H24" s="81">
        <v>10000.0</v>
      </c>
      <c r="I24" s="80"/>
      <c r="J24" s="39">
        <f t="shared" si="2"/>
        <v>10000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3500.0</v>
      </c>
      <c r="I28" s="88"/>
      <c r="J28" s="39">
        <f>D28*H28</f>
        <v>3500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20000.0</v>
      </c>
      <c r="I29" s="88"/>
      <c r="J29" s="89">
        <v>18000.0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2500.0</v>
      </c>
      <c r="I30" s="88"/>
      <c r="J30" s="39">
        <f>D30*H30</f>
        <v>2500</v>
      </c>
    </row>
    <row r="31">
      <c r="A31" s="75">
        <v>4.0</v>
      </c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371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50488.33333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4295.366667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80783.7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348</v>
      </c>
      <c r="C10" s="75" t="s">
        <v>21</v>
      </c>
      <c r="D10" s="77">
        <v>1.09</v>
      </c>
      <c r="E10" s="75" t="s">
        <v>225</v>
      </c>
      <c r="F10" s="78" t="s">
        <v>341</v>
      </c>
      <c r="G10" s="75" t="s">
        <v>193</v>
      </c>
      <c r="H10" s="79">
        <v>29500.0</v>
      </c>
      <c r="I10" s="81">
        <v>27500.0</v>
      </c>
      <c r="J10" s="39">
        <f t="shared" ref="J10:J11" si="1">D10*H10</f>
        <v>32155</v>
      </c>
    </row>
    <row r="11">
      <c r="A11" s="75">
        <v>2.0</v>
      </c>
      <c r="B11" s="76" t="s">
        <v>373</v>
      </c>
      <c r="C11" s="75" t="s">
        <v>21</v>
      </c>
      <c r="D11" s="77">
        <f>1/3</f>
        <v>0.3333333333</v>
      </c>
      <c r="E11" s="75" t="s">
        <v>23</v>
      </c>
      <c r="F11" s="78" t="s">
        <v>374</v>
      </c>
      <c r="G11" s="75" t="s">
        <v>375</v>
      </c>
      <c r="H11" s="79">
        <v>55000.0</v>
      </c>
      <c r="I11" s="81"/>
      <c r="J11" s="39">
        <f t="shared" si="1"/>
        <v>18333.33333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1/75</f>
        <v>0.01333333333</v>
      </c>
      <c r="E14" s="75" t="s">
        <v>35</v>
      </c>
      <c r="F14" s="75" t="s">
        <v>346</v>
      </c>
      <c r="G14" s="75" t="s">
        <v>38</v>
      </c>
      <c r="H14" s="81">
        <v>25000.0</v>
      </c>
      <c r="I14" s="80"/>
      <c r="J14" s="39">
        <f t="shared" ref="J14:J25" si="2">D14*H14</f>
        <v>333.3333333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349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376</v>
      </c>
      <c r="C20" s="75" t="s">
        <v>21</v>
      </c>
      <c r="D20" s="94">
        <f>0.45</f>
        <v>0.45</v>
      </c>
      <c r="E20" s="75" t="s">
        <v>148</v>
      </c>
      <c r="F20" s="75" t="s">
        <v>355</v>
      </c>
      <c r="G20" s="75" t="s">
        <v>356</v>
      </c>
      <c r="H20" s="81">
        <v>1000.0</v>
      </c>
      <c r="I20" s="80"/>
      <c r="J20" s="95">
        <f t="shared" si="2"/>
        <v>450</v>
      </c>
    </row>
    <row r="21">
      <c r="A21" s="19">
        <v>8.0</v>
      </c>
      <c r="B21" s="76" t="s">
        <v>358</v>
      </c>
      <c r="C21" s="75" t="s">
        <v>21</v>
      </c>
      <c r="D21" s="83">
        <v>1.0</v>
      </c>
      <c r="E21" s="75" t="s">
        <v>47</v>
      </c>
      <c r="F21" s="75" t="s">
        <v>359</v>
      </c>
      <c r="G21" s="75" t="s">
        <v>38</v>
      </c>
      <c r="H21" s="79">
        <f>30000/12</f>
        <v>2500</v>
      </c>
      <c r="I21" s="80"/>
      <c r="J21" s="39">
        <f t="shared" si="2"/>
        <v>2500</v>
      </c>
    </row>
    <row r="22">
      <c r="A22" s="75">
        <v>9.0</v>
      </c>
      <c r="B22" s="76" t="s">
        <v>363</v>
      </c>
      <c r="C22" s="75" t="s">
        <v>21</v>
      </c>
      <c r="D22" s="82">
        <f>0.3</f>
        <v>0.3</v>
      </c>
      <c r="E22" s="75" t="s">
        <v>148</v>
      </c>
      <c r="F22" s="75" t="s">
        <v>364</v>
      </c>
      <c r="G22" s="75" t="s">
        <v>38</v>
      </c>
      <c r="H22" s="81">
        <v>1800.0</v>
      </c>
      <c r="I22" s="80"/>
      <c r="J22" s="39">
        <f t="shared" si="2"/>
        <v>540</v>
      </c>
    </row>
    <row r="23">
      <c r="A23" s="75">
        <v>10.0</v>
      </c>
      <c r="B23" s="76" t="s">
        <v>365</v>
      </c>
      <c r="C23" s="75" t="s">
        <v>21</v>
      </c>
      <c r="D23" s="83">
        <v>3.0</v>
      </c>
      <c r="E23" s="75" t="s">
        <v>47</v>
      </c>
      <c r="F23" s="75" t="s">
        <v>366</v>
      </c>
      <c r="G23" s="75" t="s">
        <v>333</v>
      </c>
      <c r="H23" s="81">
        <v>1000.0</v>
      </c>
      <c r="I23" s="80"/>
      <c r="J23" s="39">
        <f t="shared" si="2"/>
        <v>3000</v>
      </c>
    </row>
    <row r="24">
      <c r="A24" s="75">
        <v>11.0</v>
      </c>
      <c r="B24" s="76" t="s">
        <v>161</v>
      </c>
      <c r="C24" s="75" t="s">
        <v>58</v>
      </c>
      <c r="D24" s="83">
        <v>1.0</v>
      </c>
      <c r="E24" s="75" t="s">
        <v>47</v>
      </c>
      <c r="F24" s="75" t="s">
        <v>367</v>
      </c>
      <c r="G24" s="75" t="s">
        <v>382</v>
      </c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3500.0</v>
      </c>
      <c r="I28" s="88"/>
      <c r="J28" s="39">
        <f t="shared" ref="J28:J30" si="3">D28*H28</f>
        <v>3500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20000.0</v>
      </c>
      <c r="I29" s="88"/>
      <c r="J29" s="39">
        <f t="shared" si="3"/>
        <v>20000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2500.0</v>
      </c>
      <c r="I30" s="88"/>
      <c r="J30" s="39">
        <f t="shared" si="3"/>
        <v>2500</v>
      </c>
    </row>
    <row r="31">
      <c r="A31" s="75">
        <v>4.0</v>
      </c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371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18333.33333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4295.366667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48628.7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 t="s">
        <v>373</v>
      </c>
      <c r="C11" s="75" t="s">
        <v>21</v>
      </c>
      <c r="D11" s="77">
        <f>1/3</f>
        <v>0.3333333333</v>
      </c>
      <c r="E11" s="75" t="s">
        <v>23</v>
      </c>
      <c r="F11" s="78" t="s">
        <v>374</v>
      </c>
      <c r="G11" s="75" t="s">
        <v>375</v>
      </c>
      <c r="H11" s="79">
        <v>55000.0</v>
      </c>
      <c r="I11" s="81"/>
      <c r="J11" s="39">
        <f t="shared" si="1"/>
        <v>18333.33333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1/75</f>
        <v>0.01333333333</v>
      </c>
      <c r="E14" s="75" t="s">
        <v>35</v>
      </c>
      <c r="F14" s="75" t="s">
        <v>346</v>
      </c>
      <c r="G14" s="75" t="s">
        <v>38</v>
      </c>
      <c r="H14" s="81">
        <v>25000.0</v>
      </c>
      <c r="I14" s="80"/>
      <c r="J14" s="39">
        <f t="shared" ref="J14:J25" si="2">D14*H14</f>
        <v>333.3333333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349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376</v>
      </c>
      <c r="C20" s="75" t="s">
        <v>21</v>
      </c>
      <c r="D20" s="94">
        <f>0.45</f>
        <v>0.45</v>
      </c>
      <c r="E20" s="75" t="s">
        <v>148</v>
      </c>
      <c r="F20" s="75" t="s">
        <v>355</v>
      </c>
      <c r="G20" s="75" t="s">
        <v>356</v>
      </c>
      <c r="H20" s="81">
        <v>1000.0</v>
      </c>
      <c r="I20" s="80"/>
      <c r="J20" s="95">
        <f t="shared" si="2"/>
        <v>450</v>
      </c>
    </row>
    <row r="21">
      <c r="A21" s="19">
        <v>8.0</v>
      </c>
      <c r="B21" s="76" t="s">
        <v>358</v>
      </c>
      <c r="C21" s="75" t="s">
        <v>21</v>
      </c>
      <c r="D21" s="83">
        <v>1.0</v>
      </c>
      <c r="E21" s="75" t="s">
        <v>47</v>
      </c>
      <c r="F21" s="75" t="s">
        <v>359</v>
      </c>
      <c r="G21" s="75" t="s">
        <v>38</v>
      </c>
      <c r="H21" s="79">
        <f>30000/12</f>
        <v>2500</v>
      </c>
      <c r="I21" s="80"/>
      <c r="J21" s="39">
        <f t="shared" si="2"/>
        <v>2500</v>
      </c>
    </row>
    <row r="22">
      <c r="A22" s="75">
        <v>9.0</v>
      </c>
      <c r="B22" s="76" t="s">
        <v>363</v>
      </c>
      <c r="C22" s="75" t="s">
        <v>21</v>
      </c>
      <c r="D22" s="82">
        <f>0.3</f>
        <v>0.3</v>
      </c>
      <c r="E22" s="75" t="s">
        <v>148</v>
      </c>
      <c r="F22" s="75" t="s">
        <v>364</v>
      </c>
      <c r="G22" s="75" t="s">
        <v>38</v>
      </c>
      <c r="H22" s="81">
        <v>1800.0</v>
      </c>
      <c r="I22" s="80"/>
      <c r="J22" s="39">
        <f t="shared" si="2"/>
        <v>540</v>
      </c>
    </row>
    <row r="23">
      <c r="A23" s="75">
        <v>10.0</v>
      </c>
      <c r="B23" s="76" t="s">
        <v>365</v>
      </c>
      <c r="C23" s="75" t="s">
        <v>21</v>
      </c>
      <c r="D23" s="83">
        <v>3.0</v>
      </c>
      <c r="E23" s="75" t="s">
        <v>47</v>
      </c>
      <c r="F23" s="75" t="s">
        <v>366</v>
      </c>
      <c r="G23" s="75" t="s">
        <v>333</v>
      </c>
      <c r="H23" s="81">
        <v>1000.0</v>
      </c>
      <c r="I23" s="80"/>
      <c r="J23" s="39">
        <f t="shared" si="2"/>
        <v>3000</v>
      </c>
    </row>
    <row r="24">
      <c r="A24" s="75">
        <v>11.0</v>
      </c>
      <c r="B24" s="76" t="s">
        <v>161</v>
      </c>
      <c r="C24" s="75" t="s">
        <v>58</v>
      </c>
      <c r="D24" s="83">
        <v>1.0</v>
      </c>
      <c r="E24" s="75" t="s">
        <v>47</v>
      </c>
      <c r="F24" s="75" t="s">
        <v>367</v>
      </c>
      <c r="G24" s="75" t="s">
        <v>382</v>
      </c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3500.0</v>
      </c>
      <c r="I28" s="88"/>
      <c r="J28" s="39">
        <f t="shared" ref="J28:J30" si="3">D28*H28</f>
        <v>3500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20000.0</v>
      </c>
      <c r="I29" s="88"/>
      <c r="J29" s="39">
        <f t="shared" si="3"/>
        <v>20000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2500.0</v>
      </c>
      <c r="I30" s="88"/>
      <c r="J30" s="39">
        <f t="shared" si="3"/>
        <v>2500</v>
      </c>
    </row>
    <row r="31">
      <c r="A31" s="75">
        <v>4.0</v>
      </c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63" t="s">
        <v>380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67383.33333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4295.366667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97678.7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75">
        <v>1.0</v>
      </c>
      <c r="B10" s="76" t="s">
        <v>219</v>
      </c>
      <c r="C10" s="75" t="s">
        <v>21</v>
      </c>
      <c r="D10" s="77">
        <v>1.09</v>
      </c>
      <c r="E10" s="75" t="s">
        <v>225</v>
      </c>
      <c r="F10" s="78" t="s">
        <v>341</v>
      </c>
      <c r="G10" s="75" t="s">
        <v>322</v>
      </c>
      <c r="H10" s="79">
        <v>45000.0</v>
      </c>
      <c r="I10" s="81">
        <v>40000.0</v>
      </c>
      <c r="J10" s="39">
        <f t="shared" ref="J10:J11" si="1">D10*H10</f>
        <v>49050</v>
      </c>
    </row>
    <row r="11">
      <c r="A11" s="75">
        <v>2.0</v>
      </c>
      <c r="B11" s="76" t="s">
        <v>373</v>
      </c>
      <c r="C11" s="75" t="s">
        <v>21</v>
      </c>
      <c r="D11" s="77">
        <f>1/3</f>
        <v>0.3333333333</v>
      </c>
      <c r="E11" s="75" t="s">
        <v>23</v>
      </c>
      <c r="F11" s="78" t="s">
        <v>374</v>
      </c>
      <c r="G11" s="75" t="s">
        <v>375</v>
      </c>
      <c r="H11" s="79">
        <v>55000.0</v>
      </c>
      <c r="I11" s="81"/>
      <c r="J11" s="39">
        <f t="shared" si="1"/>
        <v>18333.33333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1/75</f>
        <v>0.01333333333</v>
      </c>
      <c r="E14" s="19" t="s">
        <v>35</v>
      </c>
      <c r="F14" s="19" t="s">
        <v>346</v>
      </c>
      <c r="G14" s="19" t="s">
        <v>38</v>
      </c>
      <c r="H14" s="22">
        <v>25000.0</v>
      </c>
      <c r="I14" s="24"/>
      <c r="J14" s="23">
        <f t="shared" ref="J14:J25" si="2">D14*H14</f>
        <v>333.3333333</v>
      </c>
    </row>
    <row r="15">
      <c r="A15" s="19">
        <v>2.0</v>
      </c>
      <c r="B15" s="20" t="s">
        <v>39</v>
      </c>
      <c r="C15" s="19" t="s">
        <v>21</v>
      </c>
      <c r="D15" s="21">
        <f>4/120</f>
        <v>0.03333333333</v>
      </c>
      <c r="E15" s="19" t="s">
        <v>40</v>
      </c>
      <c r="F15" s="19" t="s">
        <v>349</v>
      </c>
      <c r="G15" s="19" t="s">
        <v>38</v>
      </c>
      <c r="H15" s="22">
        <v>13000.0</v>
      </c>
      <c r="I15" s="24"/>
      <c r="J15" s="23">
        <f t="shared" si="2"/>
        <v>433.3333333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198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376</v>
      </c>
      <c r="C20" s="19" t="s">
        <v>21</v>
      </c>
      <c r="D20" s="104">
        <f>0.45</f>
        <v>0.45</v>
      </c>
      <c r="E20" s="19" t="s">
        <v>148</v>
      </c>
      <c r="F20" s="19" t="s">
        <v>355</v>
      </c>
      <c r="G20" s="19" t="s">
        <v>356</v>
      </c>
      <c r="H20" s="22">
        <v>1000.0</v>
      </c>
      <c r="I20" s="24"/>
      <c r="J20" s="105">
        <f t="shared" si="2"/>
        <v>450</v>
      </c>
    </row>
    <row r="21">
      <c r="A21" s="19">
        <v>8.0</v>
      </c>
      <c r="B21" s="76" t="s">
        <v>358</v>
      </c>
      <c r="C21" s="75" t="s">
        <v>21</v>
      </c>
      <c r="D21" s="83">
        <v>1.0</v>
      </c>
      <c r="E21" s="75" t="s">
        <v>47</v>
      </c>
      <c r="F21" s="75" t="s">
        <v>359</v>
      </c>
      <c r="G21" s="75" t="s">
        <v>38</v>
      </c>
      <c r="H21" s="79">
        <f>30000/12</f>
        <v>2500</v>
      </c>
      <c r="I21" s="24"/>
      <c r="J21" s="23">
        <f t="shared" si="2"/>
        <v>2500</v>
      </c>
    </row>
    <row r="22">
      <c r="A22" s="19">
        <v>9.0</v>
      </c>
      <c r="B22" s="20" t="s">
        <v>363</v>
      </c>
      <c r="C22" s="19" t="s">
        <v>21</v>
      </c>
      <c r="D22" s="59">
        <f>0.3</f>
        <v>0.3</v>
      </c>
      <c r="E22" s="19" t="s">
        <v>148</v>
      </c>
      <c r="F22" s="19" t="s">
        <v>364</v>
      </c>
      <c r="G22" s="19" t="s">
        <v>38</v>
      </c>
      <c r="H22" s="22">
        <v>1800.0</v>
      </c>
      <c r="I22" s="24"/>
      <c r="J22" s="23">
        <f t="shared" si="2"/>
        <v>540</v>
      </c>
    </row>
    <row r="23">
      <c r="A23" s="19">
        <v>10.0</v>
      </c>
      <c r="B23" s="20" t="s">
        <v>365</v>
      </c>
      <c r="C23" s="19" t="s">
        <v>21</v>
      </c>
      <c r="D23" s="28">
        <v>3.0</v>
      </c>
      <c r="E23" s="19" t="s">
        <v>47</v>
      </c>
      <c r="F23" s="19" t="s">
        <v>366</v>
      </c>
      <c r="G23" s="19" t="s">
        <v>333</v>
      </c>
      <c r="H23" s="22">
        <v>1000.0</v>
      </c>
      <c r="I23" s="24"/>
      <c r="J23" s="23">
        <f t="shared" si="2"/>
        <v>3000</v>
      </c>
    </row>
    <row r="24">
      <c r="A24" s="19">
        <v>11.0</v>
      </c>
      <c r="B24" s="20" t="s">
        <v>161</v>
      </c>
      <c r="C24" s="19" t="s">
        <v>58</v>
      </c>
      <c r="D24" s="28">
        <v>1.0</v>
      </c>
      <c r="E24" s="19" t="s">
        <v>47</v>
      </c>
      <c r="F24" s="19" t="s">
        <v>367</v>
      </c>
      <c r="G24" s="19" t="s">
        <v>382</v>
      </c>
      <c r="H24" s="62"/>
      <c r="I24" s="24"/>
      <c r="J24" s="23">
        <f t="shared" si="2"/>
        <v>0</v>
      </c>
    </row>
    <row r="25">
      <c r="A25" s="19">
        <v>12.0</v>
      </c>
      <c r="B25" s="20"/>
      <c r="C25" s="20"/>
      <c r="D25" s="61"/>
      <c r="E25" s="20"/>
      <c r="F25" s="20"/>
      <c r="G25" s="20"/>
      <c r="H25" s="62"/>
      <c r="I25" s="24"/>
      <c r="J25" s="23">
        <f t="shared" si="2"/>
        <v>0</v>
      </c>
    </row>
    <row r="26">
      <c r="A26" s="29" t="s">
        <v>63</v>
      </c>
      <c r="J26" s="30"/>
    </row>
    <row r="27">
      <c r="A27" s="31" t="s">
        <v>10</v>
      </c>
      <c r="B27" s="31" t="s">
        <v>64</v>
      </c>
      <c r="C27" s="32"/>
      <c r="D27" s="31" t="s">
        <v>13</v>
      </c>
      <c r="E27" s="31" t="s">
        <v>14</v>
      </c>
      <c r="F27" s="31" t="s">
        <v>32</v>
      </c>
      <c r="G27" s="31" t="s">
        <v>16</v>
      </c>
      <c r="H27" s="31" t="s">
        <v>65</v>
      </c>
      <c r="I27" s="32"/>
      <c r="J27" s="31" t="s">
        <v>19</v>
      </c>
    </row>
    <row r="28">
      <c r="A28" s="19">
        <v>1.0</v>
      </c>
      <c r="B28" s="19" t="s">
        <v>357</v>
      </c>
      <c r="C28" s="33"/>
      <c r="D28" s="34">
        <v>1.0</v>
      </c>
      <c r="E28" s="19" t="s">
        <v>47</v>
      </c>
      <c r="F28" s="33"/>
      <c r="G28" s="19" t="s">
        <v>68</v>
      </c>
      <c r="H28" s="22">
        <v>3500.0</v>
      </c>
      <c r="I28" s="33"/>
      <c r="J28" s="23">
        <f t="shared" ref="J28:J30" si="3">D28*H28</f>
        <v>3500</v>
      </c>
    </row>
    <row r="29">
      <c r="A29" s="19">
        <v>2.0</v>
      </c>
      <c r="B29" s="19" t="s">
        <v>360</v>
      </c>
      <c r="C29" s="33"/>
      <c r="D29" s="34">
        <v>1.0</v>
      </c>
      <c r="E29" s="19" t="s">
        <v>47</v>
      </c>
      <c r="F29" s="33"/>
      <c r="G29" s="19" t="s">
        <v>68</v>
      </c>
      <c r="H29" s="22">
        <v>20000.0</v>
      </c>
      <c r="I29" s="33"/>
      <c r="J29" s="23">
        <f t="shared" si="3"/>
        <v>20000</v>
      </c>
    </row>
    <row r="30">
      <c r="A30" s="19">
        <v>3.0</v>
      </c>
      <c r="B30" s="19" t="s">
        <v>362</v>
      </c>
      <c r="C30" s="33"/>
      <c r="D30" s="34">
        <v>1.0</v>
      </c>
      <c r="E30" s="19" t="s">
        <v>47</v>
      </c>
      <c r="F30" s="35"/>
      <c r="G30" s="19" t="s">
        <v>68</v>
      </c>
      <c r="H30" s="22">
        <v>2500.0</v>
      </c>
      <c r="I30" s="33"/>
      <c r="J30" s="23">
        <f t="shared" si="3"/>
        <v>2500</v>
      </c>
    </row>
    <row r="31">
      <c r="A31" s="19">
        <v>4.0</v>
      </c>
      <c r="B31" s="20"/>
      <c r="C31" s="33"/>
      <c r="D31" s="69"/>
      <c r="E31" s="20"/>
      <c r="F31" s="35"/>
      <c r="G31" s="20"/>
      <c r="H31" s="62"/>
      <c r="I31" s="33"/>
      <c r="J31" s="35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381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47763.33333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4466.366667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24000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76229.7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75">
        <v>1.0</v>
      </c>
      <c r="B10" s="76" t="s">
        <v>369</v>
      </c>
      <c r="C10" s="75" t="s">
        <v>21</v>
      </c>
      <c r="D10" s="77">
        <v>1.09</v>
      </c>
      <c r="E10" s="75" t="s">
        <v>225</v>
      </c>
      <c r="F10" s="78" t="s">
        <v>341</v>
      </c>
      <c r="G10" s="75" t="s">
        <v>370</v>
      </c>
      <c r="H10" s="79">
        <v>27000.0</v>
      </c>
      <c r="I10" s="81"/>
      <c r="J10" s="39">
        <f t="shared" ref="J10:J11" si="1">D10*H10</f>
        <v>29430</v>
      </c>
    </row>
    <row r="11">
      <c r="A11" s="75">
        <v>2.0</v>
      </c>
      <c r="B11" s="76" t="s">
        <v>373</v>
      </c>
      <c r="C11" s="75" t="s">
        <v>21</v>
      </c>
      <c r="D11" s="77">
        <f>1/3</f>
        <v>0.3333333333</v>
      </c>
      <c r="E11" s="75" t="s">
        <v>23</v>
      </c>
      <c r="F11" s="78" t="s">
        <v>374</v>
      </c>
      <c r="G11" s="75" t="s">
        <v>375</v>
      </c>
      <c r="H11" s="79">
        <v>55000.0</v>
      </c>
      <c r="I11" s="81"/>
      <c r="J11" s="39">
        <f t="shared" si="1"/>
        <v>18333.33333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1/75</f>
        <v>0.01333333333</v>
      </c>
      <c r="E14" s="75" t="s">
        <v>35</v>
      </c>
      <c r="F14" s="75" t="s">
        <v>346</v>
      </c>
      <c r="G14" s="75" t="s">
        <v>38</v>
      </c>
      <c r="H14" s="81">
        <v>25000.0</v>
      </c>
      <c r="I14" s="80"/>
      <c r="J14" s="39">
        <f t="shared" ref="J14:J25" si="2">D14*H14</f>
        <v>333.3333333</v>
      </c>
    </row>
    <row r="15">
      <c r="A15" s="75">
        <v>2.0</v>
      </c>
      <c r="B15" s="76" t="s">
        <v>39</v>
      </c>
      <c r="C15" s="75" t="s">
        <v>21</v>
      </c>
      <c r="D15" s="77">
        <f>4/120</f>
        <v>0.03333333333</v>
      </c>
      <c r="E15" s="75" t="s">
        <v>40</v>
      </c>
      <c r="F15" s="75" t="s">
        <v>349</v>
      </c>
      <c r="G15" s="75" t="s">
        <v>38</v>
      </c>
      <c r="H15" s="81">
        <v>13000.0</v>
      </c>
      <c r="I15" s="80"/>
      <c r="J15" s="39">
        <f t="shared" si="2"/>
        <v>433.3333333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354</v>
      </c>
      <c r="C20" s="75" t="s">
        <v>21</v>
      </c>
      <c r="D20" s="94">
        <f>0.45</f>
        <v>0.45</v>
      </c>
      <c r="E20" s="75" t="s">
        <v>148</v>
      </c>
      <c r="F20" s="75" t="s">
        <v>355</v>
      </c>
      <c r="G20" s="75" t="s">
        <v>356</v>
      </c>
      <c r="H20" s="81">
        <f>69000/50</f>
        <v>1380</v>
      </c>
      <c r="I20" s="80"/>
      <c r="J20" s="95">
        <f t="shared" si="2"/>
        <v>621</v>
      </c>
    </row>
    <row r="21">
      <c r="A21" s="19">
        <v>8.0</v>
      </c>
      <c r="B21" s="76" t="s">
        <v>358</v>
      </c>
      <c r="C21" s="75" t="s">
        <v>21</v>
      </c>
      <c r="D21" s="83">
        <v>1.0</v>
      </c>
      <c r="E21" s="75" t="s">
        <v>47</v>
      </c>
      <c r="F21" s="75" t="s">
        <v>359</v>
      </c>
      <c r="G21" s="75" t="s">
        <v>38</v>
      </c>
      <c r="H21" s="79">
        <f>30000/12</f>
        <v>2500</v>
      </c>
      <c r="I21" s="80"/>
      <c r="J21" s="39">
        <f t="shared" si="2"/>
        <v>2500</v>
      </c>
    </row>
    <row r="22">
      <c r="A22" s="75">
        <v>9.0</v>
      </c>
      <c r="B22" s="76" t="s">
        <v>363</v>
      </c>
      <c r="C22" s="75" t="s">
        <v>21</v>
      </c>
      <c r="D22" s="82">
        <f>0.3</f>
        <v>0.3</v>
      </c>
      <c r="E22" s="75" t="s">
        <v>148</v>
      </c>
      <c r="F22" s="75" t="s">
        <v>364</v>
      </c>
      <c r="G22" s="75" t="s">
        <v>38</v>
      </c>
      <c r="H22" s="81">
        <v>1800.0</v>
      </c>
      <c r="I22" s="80"/>
      <c r="J22" s="39">
        <f t="shared" si="2"/>
        <v>540</v>
      </c>
    </row>
    <row r="23">
      <c r="A23" s="75">
        <v>10.0</v>
      </c>
      <c r="B23" s="76" t="s">
        <v>365</v>
      </c>
      <c r="C23" s="75" t="s">
        <v>21</v>
      </c>
      <c r="D23" s="83">
        <v>3.0</v>
      </c>
      <c r="E23" s="75" t="s">
        <v>47</v>
      </c>
      <c r="F23" s="75" t="s">
        <v>366</v>
      </c>
      <c r="G23" s="75" t="s">
        <v>333</v>
      </c>
      <c r="H23" s="81">
        <v>1000.0</v>
      </c>
      <c r="I23" s="80"/>
      <c r="J23" s="39">
        <f t="shared" si="2"/>
        <v>3000</v>
      </c>
    </row>
    <row r="24">
      <c r="A24" s="75">
        <v>11.0</v>
      </c>
      <c r="B24" s="76" t="s">
        <v>161</v>
      </c>
      <c r="C24" s="75" t="s">
        <v>58</v>
      </c>
      <c r="D24" s="83">
        <v>1.0</v>
      </c>
      <c r="E24" s="75" t="s">
        <v>47</v>
      </c>
      <c r="F24" s="75" t="s">
        <v>367</v>
      </c>
      <c r="G24" s="75" t="s">
        <v>163</v>
      </c>
      <c r="H24" s="81">
        <v>10000.0</v>
      </c>
      <c r="I24" s="80"/>
      <c r="J24" s="39">
        <f t="shared" si="2"/>
        <v>10000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3500.0</v>
      </c>
      <c r="I28" s="88"/>
      <c r="J28" s="39">
        <f>D28*H28</f>
        <v>3500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15000.0</v>
      </c>
      <c r="I29" s="88"/>
      <c r="J29" s="89">
        <v>18000.0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2500.0</v>
      </c>
      <c r="I30" s="88"/>
      <c r="J30" s="39">
        <f>D30*H30</f>
        <v>2500</v>
      </c>
    </row>
    <row r="31">
      <c r="A31" s="75">
        <v>4.0</v>
      </c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383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86133.33333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6745.366667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14000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106878.7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385</v>
      </c>
      <c r="C10" s="75" t="s">
        <v>21</v>
      </c>
      <c r="D10" s="77">
        <f>1/2.5</f>
        <v>0.4</v>
      </c>
      <c r="E10" s="75" t="s">
        <v>225</v>
      </c>
      <c r="F10" s="78" t="s">
        <v>387</v>
      </c>
      <c r="G10" s="75" t="s">
        <v>388</v>
      </c>
      <c r="H10" s="79">
        <v>152000.0</v>
      </c>
      <c r="I10" s="81"/>
      <c r="J10" s="39">
        <f t="shared" ref="J10:J11" si="1">D10*H10</f>
        <v>60800</v>
      </c>
    </row>
    <row r="11">
      <c r="A11" s="75">
        <v>2.0</v>
      </c>
      <c r="B11" s="76" t="s">
        <v>389</v>
      </c>
      <c r="C11" s="75" t="s">
        <v>21</v>
      </c>
      <c r="D11" s="77">
        <f>1/6</f>
        <v>0.1666666667</v>
      </c>
      <c r="E11" s="75" t="s">
        <v>148</v>
      </c>
      <c r="F11" s="78" t="s">
        <v>390</v>
      </c>
      <c r="G11" s="75" t="s">
        <v>388</v>
      </c>
      <c r="H11" s="79">
        <v>152000.0</v>
      </c>
      <c r="I11" s="81"/>
      <c r="J11" s="39">
        <f t="shared" si="1"/>
        <v>25333.33333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1/21</f>
        <v>0.04761904762</v>
      </c>
      <c r="E14" s="75" t="s">
        <v>35</v>
      </c>
      <c r="F14" s="75" t="s">
        <v>251</v>
      </c>
      <c r="G14" s="75" t="s">
        <v>38</v>
      </c>
      <c r="H14" s="81">
        <v>25000.0</v>
      </c>
      <c r="I14" s="80"/>
      <c r="J14" s="39">
        <f t="shared" ref="J14:J25" si="2">D14*H14</f>
        <v>1190.47619</v>
      </c>
    </row>
    <row r="15">
      <c r="A15" s="75">
        <v>2.0</v>
      </c>
      <c r="B15" s="76" t="s">
        <v>39</v>
      </c>
      <c r="C15" s="75" t="s">
        <v>21</v>
      </c>
      <c r="D15" s="77">
        <f>4/21</f>
        <v>0.1904761905</v>
      </c>
      <c r="E15" s="75" t="s">
        <v>40</v>
      </c>
      <c r="F15" s="75" t="s">
        <v>253</v>
      </c>
      <c r="G15" s="75" t="s">
        <v>38</v>
      </c>
      <c r="H15" s="81">
        <v>13000.0</v>
      </c>
      <c r="I15" s="80"/>
      <c r="J15" s="39">
        <f t="shared" si="2"/>
        <v>2476.190476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59</v>
      </c>
      <c r="C20" s="75"/>
      <c r="D20" s="94">
        <v>1.0</v>
      </c>
      <c r="E20" s="75"/>
      <c r="F20" s="75"/>
      <c r="G20" s="75" t="s">
        <v>68</v>
      </c>
      <c r="H20" s="81">
        <v>2500.0</v>
      </c>
      <c r="I20" s="80"/>
      <c r="J20" s="95">
        <f t="shared" si="2"/>
        <v>2500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66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89">
        <v>2500.0</v>
      </c>
    </row>
    <row r="29">
      <c r="A29" s="75">
        <v>2.0</v>
      </c>
      <c r="B29" s="75" t="s">
        <v>71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18000.0</v>
      </c>
      <c r="I29" s="88"/>
      <c r="J29" s="89">
        <v>8000.0</v>
      </c>
    </row>
    <row r="30">
      <c r="A30" s="75">
        <v>3.0</v>
      </c>
      <c r="B30" s="75" t="s">
        <v>72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3000.0</v>
      </c>
      <c r="I30" s="88"/>
      <c r="J30" s="89">
        <v>1500.0</v>
      </c>
    </row>
    <row r="31">
      <c r="A31" s="75">
        <v>4.0</v>
      </c>
      <c r="B31" s="75" t="s">
        <v>399</v>
      </c>
      <c r="C31" s="86"/>
      <c r="D31" s="87">
        <v>1.0</v>
      </c>
      <c r="E31" s="75" t="s">
        <v>47</v>
      </c>
      <c r="F31" s="89"/>
      <c r="G31" s="75"/>
      <c r="H31" s="81">
        <v>2000.0</v>
      </c>
      <c r="I31" s="88"/>
      <c r="J31" s="39">
        <f>D31*H31</f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384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66675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6745.366667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14000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87420.36667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385</v>
      </c>
      <c r="C10" s="75" t="s">
        <v>21</v>
      </c>
      <c r="D10" s="77">
        <f>1/2.5</f>
        <v>0.4</v>
      </c>
      <c r="E10" s="75" t="s">
        <v>225</v>
      </c>
      <c r="F10" s="78" t="s">
        <v>387</v>
      </c>
      <c r="G10" s="75" t="s">
        <v>391</v>
      </c>
      <c r="H10" s="79">
        <v>127000.0</v>
      </c>
      <c r="I10" s="81"/>
      <c r="J10" s="39">
        <f t="shared" ref="J10:J11" si="1">D10*H10</f>
        <v>50800</v>
      </c>
    </row>
    <row r="11">
      <c r="A11" s="75">
        <v>2.0</v>
      </c>
      <c r="B11" s="76" t="s">
        <v>392</v>
      </c>
      <c r="C11" s="75" t="s">
        <v>21</v>
      </c>
      <c r="D11" s="77">
        <f>1/8</f>
        <v>0.125</v>
      </c>
      <c r="E11" s="75" t="s">
        <v>23</v>
      </c>
      <c r="F11" s="78" t="s">
        <v>393</v>
      </c>
      <c r="G11" s="75" t="s">
        <v>391</v>
      </c>
      <c r="H11" s="79">
        <v>127000.0</v>
      </c>
      <c r="I11" s="81"/>
      <c r="J11" s="39">
        <f t="shared" si="1"/>
        <v>15875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1/21</f>
        <v>0.04761904762</v>
      </c>
      <c r="E14" s="75" t="s">
        <v>35</v>
      </c>
      <c r="F14" s="75" t="s">
        <v>251</v>
      </c>
      <c r="G14" s="75" t="s">
        <v>38</v>
      </c>
      <c r="H14" s="81">
        <v>25000.0</v>
      </c>
      <c r="I14" s="80"/>
      <c r="J14" s="39">
        <f t="shared" ref="J14:J25" si="2">D14*H14</f>
        <v>1190.47619</v>
      </c>
    </row>
    <row r="15">
      <c r="A15" s="75">
        <v>2.0</v>
      </c>
      <c r="B15" s="76" t="s">
        <v>39</v>
      </c>
      <c r="C15" s="75" t="s">
        <v>21</v>
      </c>
      <c r="D15" s="77">
        <f>4/21</f>
        <v>0.1904761905</v>
      </c>
      <c r="E15" s="75" t="s">
        <v>40</v>
      </c>
      <c r="F15" s="75" t="s">
        <v>253</v>
      </c>
      <c r="G15" s="75" t="s">
        <v>38</v>
      </c>
      <c r="H15" s="81">
        <v>13000.0</v>
      </c>
      <c r="I15" s="80"/>
      <c r="J15" s="39">
        <f t="shared" si="2"/>
        <v>2476.190476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59</v>
      </c>
      <c r="C20" s="75"/>
      <c r="D20" s="94">
        <v>1.0</v>
      </c>
      <c r="E20" s="75"/>
      <c r="F20" s="75"/>
      <c r="G20" s="75" t="s">
        <v>68</v>
      </c>
      <c r="H20" s="81">
        <v>2500.0</v>
      </c>
      <c r="I20" s="80"/>
      <c r="J20" s="95">
        <f t="shared" si="2"/>
        <v>2500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66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89">
        <v>2500.0</v>
      </c>
    </row>
    <row r="29">
      <c r="A29" s="75">
        <v>2.0</v>
      </c>
      <c r="B29" s="75" t="s">
        <v>71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18000.0</v>
      </c>
      <c r="I29" s="88"/>
      <c r="J29" s="89">
        <v>8000.0</v>
      </c>
    </row>
    <row r="30">
      <c r="A30" s="75">
        <v>3.0</v>
      </c>
      <c r="B30" s="75" t="s">
        <v>72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3000.0</v>
      </c>
      <c r="I30" s="88"/>
      <c r="J30" s="89">
        <v>1500.0</v>
      </c>
    </row>
    <row r="31">
      <c r="A31" s="75">
        <v>4.0</v>
      </c>
      <c r="B31" s="75" t="s">
        <v>399</v>
      </c>
      <c r="C31" s="86"/>
      <c r="D31" s="87">
        <v>1.0</v>
      </c>
      <c r="E31" s="75" t="s">
        <v>47</v>
      </c>
      <c r="F31" s="89"/>
      <c r="G31" s="75"/>
      <c r="H31" s="81">
        <v>2000.0</v>
      </c>
      <c r="I31" s="88"/>
      <c r="J31" s="39">
        <f>D31*H31</f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386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95000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3111.9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20500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118611.9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394</v>
      </c>
      <c r="C10" s="75" t="s">
        <v>21</v>
      </c>
      <c r="D10" s="77">
        <f>1/2</f>
        <v>0.5</v>
      </c>
      <c r="E10" s="75" t="s">
        <v>23</v>
      </c>
      <c r="F10" s="78" t="s">
        <v>395</v>
      </c>
      <c r="G10" s="75" t="s">
        <v>388</v>
      </c>
      <c r="H10" s="79">
        <v>152000.0</v>
      </c>
      <c r="I10" s="81"/>
      <c r="J10" s="39">
        <f t="shared" ref="J10:J11" si="1">D10*H10</f>
        <v>76000</v>
      </c>
    </row>
    <row r="11">
      <c r="A11" s="75">
        <v>2.0</v>
      </c>
      <c r="B11" s="76" t="s">
        <v>392</v>
      </c>
      <c r="C11" s="75" t="s">
        <v>21</v>
      </c>
      <c r="D11" s="77">
        <f>1/8</f>
        <v>0.125</v>
      </c>
      <c r="E11" s="75" t="s">
        <v>23</v>
      </c>
      <c r="F11" s="78" t="s">
        <v>393</v>
      </c>
      <c r="G11" s="75" t="s">
        <v>388</v>
      </c>
      <c r="H11" s="79">
        <v>152000.0</v>
      </c>
      <c r="I11" s="81"/>
      <c r="J11" s="39">
        <f t="shared" si="1"/>
        <v>19000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82">
        <f>1/70</f>
        <v>0.01428571429</v>
      </c>
      <c r="E14" s="75" t="s">
        <v>35</v>
      </c>
      <c r="F14" s="75" t="s">
        <v>396</v>
      </c>
      <c r="G14" s="75" t="s">
        <v>38</v>
      </c>
      <c r="H14" s="81">
        <v>25000.0</v>
      </c>
      <c r="I14" s="80"/>
      <c r="J14" s="39">
        <f t="shared" ref="J14:J25" si="2">D14*H14</f>
        <v>357.1428571</v>
      </c>
    </row>
    <row r="15">
      <c r="A15" s="75">
        <v>2.0</v>
      </c>
      <c r="B15" s="76" t="s">
        <v>39</v>
      </c>
      <c r="C15" s="75" t="s">
        <v>21</v>
      </c>
      <c r="D15" s="82">
        <f>4/70</f>
        <v>0.05714285714</v>
      </c>
      <c r="E15" s="75" t="s">
        <v>40</v>
      </c>
      <c r="F15" s="75" t="s">
        <v>397</v>
      </c>
      <c r="G15" s="75" t="s">
        <v>38</v>
      </c>
      <c r="H15" s="81">
        <v>13000.0</v>
      </c>
      <c r="I15" s="80"/>
      <c r="J15" s="39">
        <f t="shared" si="2"/>
        <v>742.8571429</v>
      </c>
    </row>
    <row r="16">
      <c r="A16" s="75">
        <v>3.0</v>
      </c>
      <c r="B16" s="76" t="s">
        <v>42</v>
      </c>
      <c r="C16" s="75" t="s">
        <v>21</v>
      </c>
      <c r="D16" s="82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83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82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82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400</v>
      </c>
      <c r="C20" s="75" t="s">
        <v>21</v>
      </c>
      <c r="D20" s="83">
        <v>2.0</v>
      </c>
      <c r="E20" s="75" t="s">
        <v>47</v>
      </c>
      <c r="F20" s="75" t="s">
        <v>401</v>
      </c>
      <c r="G20" s="75" t="s">
        <v>333</v>
      </c>
      <c r="H20" s="81">
        <v>350.0</v>
      </c>
      <c r="I20" s="80"/>
      <c r="J20" s="95">
        <f t="shared" si="2"/>
        <v>700</v>
      </c>
    </row>
    <row r="21">
      <c r="A21" s="75">
        <v>8.0</v>
      </c>
      <c r="B21" s="76" t="s">
        <v>402</v>
      </c>
      <c r="C21" s="75" t="s">
        <v>403</v>
      </c>
      <c r="D21" s="82">
        <v>1.2</v>
      </c>
      <c r="E21" s="75" t="s">
        <v>148</v>
      </c>
      <c r="F21" s="75" t="s">
        <v>404</v>
      </c>
      <c r="G21" s="75" t="s">
        <v>38</v>
      </c>
      <c r="H21" s="81">
        <v>611.0</v>
      </c>
      <c r="I21" s="80"/>
      <c r="J21" s="39">
        <f t="shared" si="2"/>
        <v>733.2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5000.0</v>
      </c>
      <c r="I28" s="88"/>
      <c r="J28" s="39">
        <f t="shared" ref="J28:J30" si="3">D28*H28</f>
        <v>5000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13000.0</v>
      </c>
      <c r="I29" s="88"/>
      <c r="J29" s="39">
        <f t="shared" si="3"/>
        <v>13000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2500.0</v>
      </c>
      <c r="I30" s="88"/>
      <c r="J30" s="39">
        <f t="shared" si="3"/>
        <v>2500</v>
      </c>
    </row>
    <row r="31">
      <c r="A31" s="75">
        <v>4.0</v>
      </c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398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79375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3111.9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20500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102986.9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408</v>
      </c>
      <c r="C10" s="75" t="s">
        <v>21</v>
      </c>
      <c r="D10" s="77">
        <f>1/2</f>
        <v>0.5</v>
      </c>
      <c r="E10" s="75" t="s">
        <v>23</v>
      </c>
      <c r="F10" s="78" t="s">
        <v>395</v>
      </c>
      <c r="G10" s="75" t="s">
        <v>391</v>
      </c>
      <c r="H10" s="79">
        <v>127000.0</v>
      </c>
      <c r="I10" s="81"/>
      <c r="J10" s="39">
        <f t="shared" ref="J10:J11" si="1">D10*H10</f>
        <v>63500</v>
      </c>
    </row>
    <row r="11">
      <c r="A11" s="75">
        <v>2.0</v>
      </c>
      <c r="B11" s="76" t="s">
        <v>392</v>
      </c>
      <c r="C11" s="75" t="s">
        <v>21</v>
      </c>
      <c r="D11" s="77">
        <f>1/8</f>
        <v>0.125</v>
      </c>
      <c r="E11" s="75" t="s">
        <v>23</v>
      </c>
      <c r="F11" s="78" t="s">
        <v>393</v>
      </c>
      <c r="G11" s="75" t="s">
        <v>391</v>
      </c>
      <c r="H11" s="79">
        <v>127000.0</v>
      </c>
      <c r="I11" s="81"/>
      <c r="J11" s="39">
        <f t="shared" si="1"/>
        <v>15875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82">
        <f>1/70</f>
        <v>0.01428571429</v>
      </c>
      <c r="E14" s="75" t="s">
        <v>35</v>
      </c>
      <c r="F14" s="75" t="s">
        <v>396</v>
      </c>
      <c r="G14" s="75" t="s">
        <v>38</v>
      </c>
      <c r="H14" s="81">
        <v>25000.0</v>
      </c>
      <c r="I14" s="80"/>
      <c r="J14" s="39">
        <f t="shared" ref="J14:J25" si="2">D14*H14</f>
        <v>357.1428571</v>
      </c>
    </row>
    <row r="15">
      <c r="A15" s="75">
        <v>2.0</v>
      </c>
      <c r="B15" s="76" t="s">
        <v>39</v>
      </c>
      <c r="C15" s="75" t="s">
        <v>21</v>
      </c>
      <c r="D15" s="82">
        <f>4/70</f>
        <v>0.05714285714</v>
      </c>
      <c r="E15" s="75" t="s">
        <v>40</v>
      </c>
      <c r="F15" s="75" t="s">
        <v>397</v>
      </c>
      <c r="G15" s="75" t="s">
        <v>38</v>
      </c>
      <c r="H15" s="81">
        <v>13000.0</v>
      </c>
      <c r="I15" s="80"/>
      <c r="J15" s="39">
        <f t="shared" si="2"/>
        <v>742.8571429</v>
      </c>
    </row>
    <row r="16">
      <c r="A16" s="75">
        <v>3.0</v>
      </c>
      <c r="B16" s="76" t="s">
        <v>42</v>
      </c>
      <c r="C16" s="75" t="s">
        <v>21</v>
      </c>
      <c r="D16" s="82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83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82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82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400</v>
      </c>
      <c r="C20" s="75" t="s">
        <v>21</v>
      </c>
      <c r="D20" s="83">
        <v>2.0</v>
      </c>
      <c r="E20" s="75" t="s">
        <v>47</v>
      </c>
      <c r="F20" s="75" t="s">
        <v>401</v>
      </c>
      <c r="G20" s="75" t="s">
        <v>333</v>
      </c>
      <c r="H20" s="81">
        <v>350.0</v>
      </c>
      <c r="I20" s="80"/>
      <c r="J20" s="95">
        <f t="shared" si="2"/>
        <v>700</v>
      </c>
    </row>
    <row r="21">
      <c r="A21" s="75">
        <v>8.0</v>
      </c>
      <c r="B21" s="76" t="s">
        <v>402</v>
      </c>
      <c r="C21" s="75" t="s">
        <v>403</v>
      </c>
      <c r="D21" s="82">
        <v>1.2</v>
      </c>
      <c r="E21" s="75" t="s">
        <v>148</v>
      </c>
      <c r="F21" s="75" t="s">
        <v>404</v>
      </c>
      <c r="G21" s="75" t="s">
        <v>38</v>
      </c>
      <c r="H21" s="81">
        <v>611.0</v>
      </c>
      <c r="I21" s="80"/>
      <c r="J21" s="39">
        <f t="shared" si="2"/>
        <v>733.2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5000.0</v>
      </c>
      <c r="I28" s="88"/>
      <c r="J28" s="39">
        <f t="shared" ref="J28:J30" si="3">D28*H28</f>
        <v>5000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13000.0</v>
      </c>
      <c r="I29" s="88"/>
      <c r="J29" s="39">
        <f t="shared" si="3"/>
        <v>13000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2500.0</v>
      </c>
      <c r="I30" s="88"/>
      <c r="J30" s="39">
        <f t="shared" si="3"/>
        <v>2500</v>
      </c>
    </row>
    <row r="31">
      <c r="A31" s="75">
        <v>4.0</v>
      </c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405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95000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3111.9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20500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118611.9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394</v>
      </c>
      <c r="C10" s="75" t="s">
        <v>21</v>
      </c>
      <c r="D10" s="77">
        <f>1/2</f>
        <v>0.5</v>
      </c>
      <c r="E10" s="75" t="s">
        <v>23</v>
      </c>
      <c r="F10" s="78" t="s">
        <v>395</v>
      </c>
      <c r="G10" s="75" t="s">
        <v>388</v>
      </c>
      <c r="H10" s="79">
        <v>152000.0</v>
      </c>
      <c r="I10" s="81"/>
      <c r="J10" s="39">
        <f t="shared" ref="J10:J11" si="1">D10*H10</f>
        <v>76000</v>
      </c>
    </row>
    <row r="11">
      <c r="A11" s="75">
        <v>2.0</v>
      </c>
      <c r="B11" s="76" t="s">
        <v>392</v>
      </c>
      <c r="C11" s="75" t="s">
        <v>21</v>
      </c>
      <c r="D11" s="77">
        <f>1/8</f>
        <v>0.125</v>
      </c>
      <c r="E11" s="75" t="s">
        <v>23</v>
      </c>
      <c r="F11" s="78" t="s">
        <v>393</v>
      </c>
      <c r="G11" s="75" t="s">
        <v>388</v>
      </c>
      <c r="H11" s="79">
        <v>152000.0</v>
      </c>
      <c r="I11" s="81"/>
      <c r="J11" s="39">
        <f t="shared" si="1"/>
        <v>19000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82">
        <f>1/70</f>
        <v>0.01428571429</v>
      </c>
      <c r="E14" s="75" t="s">
        <v>35</v>
      </c>
      <c r="F14" s="75" t="s">
        <v>396</v>
      </c>
      <c r="G14" s="75" t="s">
        <v>38</v>
      </c>
      <c r="H14" s="81">
        <v>25000.0</v>
      </c>
      <c r="I14" s="80"/>
      <c r="J14" s="39">
        <f t="shared" ref="J14:J21" si="2">D14*H14</f>
        <v>357.1428571</v>
      </c>
    </row>
    <row r="15">
      <c r="A15" s="75">
        <v>2.0</v>
      </c>
      <c r="B15" s="76" t="s">
        <v>39</v>
      </c>
      <c r="C15" s="75" t="s">
        <v>21</v>
      </c>
      <c r="D15" s="82">
        <f>4/70</f>
        <v>0.05714285714</v>
      </c>
      <c r="E15" s="75" t="s">
        <v>40</v>
      </c>
      <c r="F15" s="75" t="s">
        <v>397</v>
      </c>
      <c r="G15" s="75" t="s">
        <v>38</v>
      </c>
      <c r="H15" s="81">
        <v>13000.0</v>
      </c>
      <c r="I15" s="80"/>
      <c r="J15" s="39">
        <f t="shared" si="2"/>
        <v>742.8571429</v>
      </c>
    </row>
    <row r="16">
      <c r="A16" s="75">
        <v>3.0</v>
      </c>
      <c r="B16" s="76" t="s">
        <v>42</v>
      </c>
      <c r="C16" s="75" t="s">
        <v>21</v>
      </c>
      <c r="D16" s="82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83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82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82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400</v>
      </c>
      <c r="C20" s="75" t="s">
        <v>21</v>
      </c>
      <c r="D20" s="83">
        <v>2.0</v>
      </c>
      <c r="E20" s="75" t="s">
        <v>47</v>
      </c>
      <c r="F20" s="75" t="s">
        <v>401</v>
      </c>
      <c r="G20" s="75" t="s">
        <v>333</v>
      </c>
      <c r="H20" s="81">
        <v>350.0</v>
      </c>
      <c r="I20" s="80"/>
      <c r="J20" s="95">
        <f t="shared" si="2"/>
        <v>700</v>
      </c>
    </row>
    <row r="21">
      <c r="A21" s="75">
        <v>8.0</v>
      </c>
      <c r="B21" s="76" t="s">
        <v>402</v>
      </c>
      <c r="C21" s="75" t="s">
        <v>403</v>
      </c>
      <c r="D21" s="82">
        <v>1.2</v>
      </c>
      <c r="E21" s="75" t="s">
        <v>148</v>
      </c>
      <c r="F21" s="75" t="s">
        <v>404</v>
      </c>
      <c r="G21" s="75" t="s">
        <v>38</v>
      </c>
      <c r="H21" s="81">
        <v>611.0</v>
      </c>
      <c r="I21" s="80"/>
      <c r="J21" s="39">
        <f t="shared" si="2"/>
        <v>733.2</v>
      </c>
    </row>
    <row r="22">
      <c r="A22" s="75">
        <v>9.0</v>
      </c>
      <c r="B22" s="76" t="s">
        <v>372</v>
      </c>
      <c r="C22" s="75" t="s">
        <v>21</v>
      </c>
      <c r="D22" s="94">
        <f>0.45</f>
        <v>0.45</v>
      </c>
      <c r="E22" s="75" t="s">
        <v>148</v>
      </c>
      <c r="F22" s="75" t="s">
        <v>355</v>
      </c>
      <c r="G22" s="75" t="s">
        <v>356</v>
      </c>
      <c r="H22" s="81">
        <f>240000/90</f>
        <v>2666.666667</v>
      </c>
      <c r="I22" s="80"/>
      <c r="J22" s="95">
        <f>'108.Hoodie Fleece Reguler Zippe'!D22*'108.Hoodie Fleece Reguler Zippe'!H22</f>
        <v>621</v>
      </c>
    </row>
    <row r="23">
      <c r="A23" s="75">
        <v>10.0</v>
      </c>
      <c r="B23" s="76" t="s">
        <v>378</v>
      </c>
      <c r="C23" s="75" t="s">
        <v>21</v>
      </c>
      <c r="D23" s="83">
        <v>1.0</v>
      </c>
      <c r="E23" s="75" t="s">
        <v>47</v>
      </c>
      <c r="F23" s="75" t="s">
        <v>377</v>
      </c>
      <c r="G23" s="75" t="s">
        <v>38</v>
      </c>
      <c r="H23" s="79">
        <v>2500.0</v>
      </c>
      <c r="I23" s="80"/>
      <c r="J23" s="39">
        <f>'108.Hoodie Fleece Reguler Zippe'!D23*'108.Hoodie Fleece Reguler Zippe'!H23</f>
        <v>1000</v>
      </c>
    </row>
    <row r="24">
      <c r="A24" s="75">
        <v>11.0</v>
      </c>
      <c r="I24" s="80"/>
      <c r="J24" s="39">
        <f t="shared" ref="J24:J25" si="3">D22*H22</f>
        <v>1200</v>
      </c>
    </row>
    <row r="25">
      <c r="A25" s="75">
        <v>12.0</v>
      </c>
      <c r="I25" s="80"/>
      <c r="J25" s="39">
        <f t="shared" si="3"/>
        <v>2500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5000.0</v>
      </c>
      <c r="I28" s="88"/>
      <c r="J28" s="39">
        <f t="shared" ref="J28:J30" si="4">D28*H28</f>
        <v>5000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13000.0</v>
      </c>
      <c r="I29" s="88"/>
      <c r="J29" s="39">
        <f t="shared" si="4"/>
        <v>13000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2500.0</v>
      </c>
      <c r="I30" s="88"/>
      <c r="J30" s="39">
        <f t="shared" si="4"/>
        <v>2500</v>
      </c>
    </row>
    <row r="31">
      <c r="A31" s="75">
        <v>4.0</v>
      </c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406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79375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3111.9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20500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102986.9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408</v>
      </c>
      <c r="C10" s="75" t="s">
        <v>21</v>
      </c>
      <c r="D10" s="77">
        <f>1/2</f>
        <v>0.5</v>
      </c>
      <c r="E10" s="75" t="s">
        <v>23</v>
      </c>
      <c r="F10" s="78" t="s">
        <v>395</v>
      </c>
      <c r="G10" s="75" t="s">
        <v>391</v>
      </c>
      <c r="H10" s="79">
        <v>127000.0</v>
      </c>
      <c r="I10" s="81"/>
      <c r="J10" s="39">
        <f t="shared" ref="J10:J11" si="1">D10*H10</f>
        <v>63500</v>
      </c>
    </row>
    <row r="11">
      <c r="A11" s="75">
        <v>2.0</v>
      </c>
      <c r="B11" s="76" t="s">
        <v>392</v>
      </c>
      <c r="C11" s="75" t="s">
        <v>21</v>
      </c>
      <c r="D11" s="77">
        <f>1/8</f>
        <v>0.125</v>
      </c>
      <c r="E11" s="75" t="s">
        <v>23</v>
      </c>
      <c r="F11" s="78" t="s">
        <v>393</v>
      </c>
      <c r="G11" s="75" t="s">
        <v>391</v>
      </c>
      <c r="H11" s="79">
        <v>127000.0</v>
      </c>
      <c r="I11" s="81"/>
      <c r="J11" s="39">
        <f t="shared" si="1"/>
        <v>15875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82">
        <f>1/70</f>
        <v>0.01428571429</v>
      </c>
      <c r="E14" s="75" t="s">
        <v>35</v>
      </c>
      <c r="F14" s="75" t="s">
        <v>396</v>
      </c>
      <c r="G14" s="75" t="s">
        <v>38</v>
      </c>
      <c r="H14" s="81">
        <v>25000.0</v>
      </c>
      <c r="I14" s="80"/>
      <c r="J14" s="39">
        <f t="shared" ref="J14:J25" si="2">D14*H14</f>
        <v>357.1428571</v>
      </c>
    </row>
    <row r="15">
      <c r="A15" s="75">
        <v>2.0</v>
      </c>
      <c r="B15" s="76" t="s">
        <v>39</v>
      </c>
      <c r="C15" s="75" t="s">
        <v>21</v>
      </c>
      <c r="D15" s="82">
        <f>4/70</f>
        <v>0.05714285714</v>
      </c>
      <c r="E15" s="75" t="s">
        <v>40</v>
      </c>
      <c r="F15" s="75" t="s">
        <v>397</v>
      </c>
      <c r="G15" s="75" t="s">
        <v>38</v>
      </c>
      <c r="H15" s="81">
        <v>13000.0</v>
      </c>
      <c r="I15" s="80"/>
      <c r="J15" s="39">
        <f t="shared" si="2"/>
        <v>742.8571429</v>
      </c>
    </row>
    <row r="16">
      <c r="A16" s="75">
        <v>3.0</v>
      </c>
      <c r="B16" s="76" t="s">
        <v>42</v>
      </c>
      <c r="C16" s="75" t="s">
        <v>21</v>
      </c>
      <c r="D16" s="82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83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82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82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400</v>
      </c>
      <c r="C20" s="75" t="s">
        <v>21</v>
      </c>
      <c r="D20" s="83">
        <v>2.0</v>
      </c>
      <c r="E20" s="75" t="s">
        <v>47</v>
      </c>
      <c r="F20" s="75" t="s">
        <v>401</v>
      </c>
      <c r="G20" s="75" t="s">
        <v>333</v>
      </c>
      <c r="H20" s="81">
        <v>350.0</v>
      </c>
      <c r="I20" s="80"/>
      <c r="J20" s="95">
        <f t="shared" si="2"/>
        <v>700</v>
      </c>
    </row>
    <row r="21">
      <c r="A21" s="75">
        <v>8.0</v>
      </c>
      <c r="B21" s="76" t="s">
        <v>402</v>
      </c>
      <c r="C21" s="75" t="s">
        <v>403</v>
      </c>
      <c r="D21" s="82">
        <v>1.2</v>
      </c>
      <c r="E21" s="75" t="s">
        <v>148</v>
      </c>
      <c r="F21" s="75" t="s">
        <v>404</v>
      </c>
      <c r="G21" s="75" t="s">
        <v>38</v>
      </c>
      <c r="H21" s="81">
        <v>611.0</v>
      </c>
      <c r="I21" s="80"/>
      <c r="J21" s="39">
        <f t="shared" si="2"/>
        <v>733.2</v>
      </c>
    </row>
    <row r="22">
      <c r="A22" s="75">
        <v>9.0</v>
      </c>
      <c r="B22" s="76" t="s">
        <v>354</v>
      </c>
      <c r="C22" s="75" t="s">
        <v>21</v>
      </c>
      <c r="D22" s="94">
        <f>0.45</f>
        <v>0.45</v>
      </c>
      <c r="E22" s="75" t="s">
        <v>148</v>
      </c>
      <c r="F22" s="75" t="s">
        <v>355</v>
      </c>
      <c r="G22" s="75" t="s">
        <v>356</v>
      </c>
      <c r="H22" s="81">
        <f>69000/50</f>
        <v>1380</v>
      </c>
      <c r="I22" s="80"/>
      <c r="J22" s="39">
        <f t="shared" si="2"/>
        <v>621</v>
      </c>
    </row>
    <row r="23">
      <c r="A23" s="75">
        <v>10.0</v>
      </c>
      <c r="B23" s="76" t="s">
        <v>358</v>
      </c>
      <c r="C23" s="75" t="s">
        <v>21</v>
      </c>
      <c r="D23" s="83">
        <v>1.0</v>
      </c>
      <c r="E23" s="75" t="s">
        <v>47</v>
      </c>
      <c r="F23" s="75" t="s">
        <v>377</v>
      </c>
      <c r="G23" s="75" t="s">
        <v>38</v>
      </c>
      <c r="H23" s="79">
        <v>1000.0</v>
      </c>
      <c r="I23" s="80"/>
      <c r="J23" s="39">
        <f t="shared" si="2"/>
        <v>1000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5000.0</v>
      </c>
      <c r="I28" s="88"/>
      <c r="J28" s="39">
        <f t="shared" ref="J28:J30" si="3">D28*H28</f>
        <v>5000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13000.0</v>
      </c>
      <c r="I29" s="88"/>
      <c r="J29" s="39">
        <f t="shared" si="3"/>
        <v>13000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2500.0</v>
      </c>
      <c r="I30" s="88"/>
      <c r="J30" s="39">
        <f t="shared" si="3"/>
        <v>2500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407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1175.366667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20500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21675.36667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 t="s">
        <v>21</v>
      </c>
      <c r="D10" s="77">
        <f>1/2.3</f>
        <v>0.4347826087</v>
      </c>
      <c r="E10" s="75" t="s">
        <v>23</v>
      </c>
      <c r="F10" s="78" t="s">
        <v>409</v>
      </c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 t="s">
        <v>21</v>
      </c>
      <c r="D11" s="77">
        <f>1/6</f>
        <v>0.1666666667</v>
      </c>
      <c r="E11" s="75" t="s">
        <v>23</v>
      </c>
      <c r="F11" s="78" t="s">
        <v>410</v>
      </c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313</v>
      </c>
      <c r="G14" s="75" t="s">
        <v>38</v>
      </c>
      <c r="H14" s="81">
        <v>25000.0</v>
      </c>
      <c r="I14" s="80"/>
      <c r="J14" s="39">
        <f t="shared" ref="J14:J25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4/150</f>
        <v>0.02666666667</v>
      </c>
      <c r="E15" s="75" t="s">
        <v>40</v>
      </c>
      <c r="F15" s="75" t="s">
        <v>411</v>
      </c>
      <c r="G15" s="75" t="s">
        <v>38</v>
      </c>
      <c r="H15" s="81">
        <v>13000.0</v>
      </c>
      <c r="I15" s="80"/>
      <c r="J15" s="39">
        <f t="shared" si="2"/>
        <v>346.6666667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/>
      <c r="C20" s="75"/>
      <c r="D20" s="94"/>
      <c r="E20" s="75"/>
      <c r="F20" s="75"/>
      <c r="G20" s="75"/>
      <c r="H20" s="81"/>
      <c r="I20" s="80"/>
      <c r="J20" s="95">
        <f t="shared" si="2"/>
        <v>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3000.0</v>
      </c>
      <c r="I28" s="88"/>
      <c r="J28" s="39">
        <f t="shared" ref="J28:J30" si="3">D28*H28</f>
        <v>3000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15000.0</v>
      </c>
      <c r="I29" s="88"/>
      <c r="J29" s="39">
        <f t="shared" si="3"/>
        <v>15000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2500.0</v>
      </c>
      <c r="I30" s="88"/>
      <c r="J30" s="39">
        <f t="shared" si="3"/>
        <v>2500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412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3111.9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20500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23611.9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 t="s">
        <v>21</v>
      </c>
      <c r="D10" s="77">
        <f>1/2</f>
        <v>0.5</v>
      </c>
      <c r="E10" s="75" t="s">
        <v>23</v>
      </c>
      <c r="F10" s="78" t="s">
        <v>395</v>
      </c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 t="s">
        <v>21</v>
      </c>
      <c r="D11" s="77">
        <f>1/6</f>
        <v>0.1666666667</v>
      </c>
      <c r="E11" s="75" t="s">
        <v>23</v>
      </c>
      <c r="F11" s="78" t="s">
        <v>416</v>
      </c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82">
        <f>1/70</f>
        <v>0.01428571429</v>
      </c>
      <c r="E14" s="75" t="s">
        <v>35</v>
      </c>
      <c r="F14" s="75" t="s">
        <v>396</v>
      </c>
      <c r="G14" s="75" t="s">
        <v>38</v>
      </c>
      <c r="H14" s="81">
        <v>25000.0</v>
      </c>
      <c r="I14" s="80"/>
      <c r="J14" s="39">
        <f t="shared" ref="J14:J25" si="2">D14*H14</f>
        <v>357.1428571</v>
      </c>
    </row>
    <row r="15">
      <c r="A15" s="75">
        <v>2.0</v>
      </c>
      <c r="B15" s="76" t="s">
        <v>39</v>
      </c>
      <c r="C15" s="75" t="s">
        <v>21</v>
      </c>
      <c r="D15" s="82">
        <f>4/70</f>
        <v>0.05714285714</v>
      </c>
      <c r="E15" s="75" t="s">
        <v>40</v>
      </c>
      <c r="F15" s="75" t="s">
        <v>397</v>
      </c>
      <c r="G15" s="75" t="s">
        <v>38</v>
      </c>
      <c r="H15" s="81">
        <v>13000.0</v>
      </c>
      <c r="I15" s="80"/>
      <c r="J15" s="39">
        <f t="shared" si="2"/>
        <v>742.8571429</v>
      </c>
    </row>
    <row r="16">
      <c r="A16" s="75">
        <v>3.0</v>
      </c>
      <c r="B16" s="76" t="s">
        <v>42</v>
      </c>
      <c r="C16" s="75" t="s">
        <v>21</v>
      </c>
      <c r="D16" s="82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83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82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82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400</v>
      </c>
      <c r="C20" s="75" t="s">
        <v>21</v>
      </c>
      <c r="D20" s="83">
        <v>2.0</v>
      </c>
      <c r="E20" s="75" t="s">
        <v>47</v>
      </c>
      <c r="F20" s="75" t="s">
        <v>401</v>
      </c>
      <c r="G20" s="75" t="s">
        <v>333</v>
      </c>
      <c r="H20" s="81">
        <v>350.0</v>
      </c>
      <c r="I20" s="80"/>
      <c r="J20" s="95">
        <f t="shared" si="2"/>
        <v>700</v>
      </c>
    </row>
    <row r="21">
      <c r="A21" s="75">
        <v>8.0</v>
      </c>
      <c r="B21" s="76" t="s">
        <v>402</v>
      </c>
      <c r="C21" s="75" t="s">
        <v>403</v>
      </c>
      <c r="D21" s="82">
        <v>1.2</v>
      </c>
      <c r="E21" s="75" t="s">
        <v>47</v>
      </c>
      <c r="F21" s="75" t="s">
        <v>404</v>
      </c>
      <c r="G21" s="75" t="s">
        <v>38</v>
      </c>
      <c r="H21" s="81">
        <v>611.0</v>
      </c>
      <c r="I21" s="80"/>
      <c r="J21" s="39">
        <f t="shared" si="2"/>
        <v>733.2</v>
      </c>
    </row>
    <row r="22">
      <c r="A22" s="75">
        <v>9.0</v>
      </c>
      <c r="B22" s="76" t="s">
        <v>424</v>
      </c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 t="s">
        <v>428</v>
      </c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5000.0</v>
      </c>
      <c r="I28" s="88"/>
      <c r="J28" s="39">
        <f t="shared" ref="J28:J30" si="3">D28*H28</f>
        <v>5000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13000.0</v>
      </c>
      <c r="I29" s="88"/>
      <c r="J29" s="39">
        <f t="shared" si="3"/>
        <v>13000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2500.0</v>
      </c>
      <c r="I30" s="88"/>
      <c r="J30" s="39">
        <f t="shared" si="3"/>
        <v>2500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413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102600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7080.7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28000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137680.7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385</v>
      </c>
      <c r="C10" s="75" t="s">
        <v>21</v>
      </c>
      <c r="D10" s="77">
        <f>1.1/2</f>
        <v>0.55</v>
      </c>
      <c r="E10" s="75" t="s">
        <v>23</v>
      </c>
      <c r="F10" s="78" t="s">
        <v>417</v>
      </c>
      <c r="G10" s="75" t="s">
        <v>388</v>
      </c>
      <c r="H10" s="79">
        <v>152000.0</v>
      </c>
      <c r="I10" s="81"/>
      <c r="J10" s="39">
        <f t="shared" ref="J10:J11" si="1">D10*H10</f>
        <v>83600</v>
      </c>
    </row>
    <row r="11">
      <c r="A11" s="75">
        <v>2.0</v>
      </c>
      <c r="B11" s="76" t="s">
        <v>389</v>
      </c>
      <c r="C11" s="75" t="s">
        <v>21</v>
      </c>
      <c r="D11" s="77">
        <f>1/8</f>
        <v>0.125</v>
      </c>
      <c r="E11" s="75" t="s">
        <v>148</v>
      </c>
      <c r="F11" s="78" t="s">
        <v>419</v>
      </c>
      <c r="G11" s="75" t="s">
        <v>388</v>
      </c>
      <c r="H11" s="79">
        <v>152000.0</v>
      </c>
      <c r="I11" s="81"/>
      <c r="J11" s="39">
        <f t="shared" si="1"/>
        <v>19000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4/100</f>
        <v>0.04</v>
      </c>
      <c r="E14" s="75" t="s">
        <v>35</v>
      </c>
      <c r="F14" s="75" t="s">
        <v>421</v>
      </c>
      <c r="G14" s="75" t="s">
        <v>38</v>
      </c>
      <c r="H14" s="81">
        <v>25000.0</v>
      </c>
      <c r="I14" s="80"/>
      <c r="J14" s="39">
        <f t="shared" ref="J14:J25" si="2">D14*H14</f>
        <v>1000</v>
      </c>
    </row>
    <row r="15">
      <c r="A15" s="75">
        <v>2.0</v>
      </c>
      <c r="B15" s="76" t="s">
        <v>39</v>
      </c>
      <c r="C15" s="75" t="s">
        <v>21</v>
      </c>
      <c r="D15" s="77">
        <v>0.01</v>
      </c>
      <c r="E15" s="75" t="s">
        <v>40</v>
      </c>
      <c r="F15" s="75">
        <v>0.0</v>
      </c>
      <c r="G15" s="75" t="s">
        <v>38</v>
      </c>
      <c r="H15" s="81">
        <v>13000.0</v>
      </c>
      <c r="I15" s="80"/>
      <c r="J15" s="39">
        <f t="shared" si="2"/>
        <v>130</v>
      </c>
    </row>
    <row r="16">
      <c r="A16" s="75">
        <v>3.0</v>
      </c>
      <c r="B16" s="76" t="s">
        <v>42</v>
      </c>
      <c r="C16" s="75" t="s">
        <v>21</v>
      </c>
      <c r="D16" s="77">
        <v>0.005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50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399</v>
      </c>
      <c r="C20" s="75" t="s">
        <v>423</v>
      </c>
      <c r="D20" s="94">
        <v>1.0</v>
      </c>
      <c r="E20" s="75" t="s">
        <v>47</v>
      </c>
      <c r="F20" s="75"/>
      <c r="G20" s="75" t="s">
        <v>68</v>
      </c>
      <c r="H20" s="81">
        <v>2500.0</v>
      </c>
      <c r="I20" s="80"/>
      <c r="J20" s="95">
        <f t="shared" si="2"/>
        <v>2500</v>
      </c>
    </row>
    <row r="21">
      <c r="A21" s="75">
        <v>8.0</v>
      </c>
      <c r="B21" s="76" t="s">
        <v>425</v>
      </c>
      <c r="C21" s="75" t="s">
        <v>423</v>
      </c>
      <c r="D21" s="83">
        <v>6.0</v>
      </c>
      <c r="E21" s="75" t="s">
        <v>47</v>
      </c>
      <c r="F21" s="75" t="s">
        <v>426</v>
      </c>
      <c r="G21" s="75" t="s">
        <v>427</v>
      </c>
      <c r="H21" s="81">
        <v>487.0</v>
      </c>
      <c r="I21" s="80"/>
      <c r="J21" s="39">
        <f t="shared" si="2"/>
        <v>2922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3500.0</v>
      </c>
      <c r="I28" s="88"/>
      <c r="J28" s="39">
        <f t="shared" ref="J28:J31" si="3">H28*D28</f>
        <v>3500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18000.0</v>
      </c>
      <c r="I29" s="88"/>
      <c r="J29" s="39">
        <f t="shared" si="3"/>
        <v>18000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2000.0</v>
      </c>
      <c r="I30" s="88"/>
      <c r="J30" s="39">
        <f t="shared" si="3"/>
        <v>2000</v>
      </c>
    </row>
    <row r="31">
      <c r="A31" s="75">
        <v>4.0</v>
      </c>
      <c r="B31" s="75" t="s">
        <v>429</v>
      </c>
      <c r="C31" s="86"/>
      <c r="D31" s="87">
        <v>6.0</v>
      </c>
      <c r="E31" s="75" t="s">
        <v>47</v>
      </c>
      <c r="F31" s="89"/>
      <c r="G31" s="75"/>
      <c r="H31" s="81">
        <v>750.0</v>
      </c>
      <c r="I31" s="88"/>
      <c r="J31" s="39">
        <f t="shared" si="3"/>
        <v>4500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414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85725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7080.7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28000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120805.7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418</v>
      </c>
      <c r="C10" s="75" t="s">
        <v>21</v>
      </c>
      <c r="D10" s="77">
        <f>1.1/2</f>
        <v>0.55</v>
      </c>
      <c r="E10" s="75" t="s">
        <v>23</v>
      </c>
      <c r="F10" s="78" t="s">
        <v>417</v>
      </c>
      <c r="G10" s="75" t="s">
        <v>391</v>
      </c>
      <c r="H10" s="79">
        <v>127000.0</v>
      </c>
      <c r="I10" s="81"/>
      <c r="J10" s="39">
        <f t="shared" ref="J10:J11" si="1">D10*H10</f>
        <v>69850</v>
      </c>
    </row>
    <row r="11">
      <c r="A11" s="75">
        <v>2.0</v>
      </c>
      <c r="B11" s="76" t="s">
        <v>389</v>
      </c>
      <c r="C11" s="75" t="s">
        <v>21</v>
      </c>
      <c r="D11" s="77">
        <f>1/8</f>
        <v>0.125</v>
      </c>
      <c r="E11" s="75" t="s">
        <v>148</v>
      </c>
      <c r="F11" s="78" t="s">
        <v>419</v>
      </c>
      <c r="G11" s="75" t="s">
        <v>391</v>
      </c>
      <c r="H11" s="79">
        <v>127000.0</v>
      </c>
      <c r="I11" s="81"/>
      <c r="J11" s="39">
        <f t="shared" si="1"/>
        <v>15875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4/100</f>
        <v>0.04</v>
      </c>
      <c r="E14" s="75" t="s">
        <v>35</v>
      </c>
      <c r="F14" s="75" t="s">
        <v>421</v>
      </c>
      <c r="G14" s="75" t="s">
        <v>38</v>
      </c>
      <c r="H14" s="81">
        <v>25000.0</v>
      </c>
      <c r="I14" s="80"/>
      <c r="J14" s="39">
        <f t="shared" ref="J14:J25" si="2">D14*H14</f>
        <v>1000</v>
      </c>
    </row>
    <row r="15">
      <c r="A15" s="75">
        <v>2.0</v>
      </c>
      <c r="B15" s="76" t="s">
        <v>39</v>
      </c>
      <c r="C15" s="75" t="s">
        <v>21</v>
      </c>
      <c r="D15" s="77">
        <v>0.01</v>
      </c>
      <c r="E15" s="75" t="s">
        <v>40</v>
      </c>
      <c r="F15" s="75">
        <v>0.0</v>
      </c>
      <c r="G15" s="75" t="s">
        <v>38</v>
      </c>
      <c r="H15" s="81">
        <v>13000.0</v>
      </c>
      <c r="I15" s="80"/>
      <c r="J15" s="39">
        <f t="shared" si="2"/>
        <v>130</v>
      </c>
    </row>
    <row r="16">
      <c r="A16" s="75">
        <v>3.0</v>
      </c>
      <c r="B16" s="76" t="s">
        <v>42</v>
      </c>
      <c r="C16" s="75" t="s">
        <v>21</v>
      </c>
      <c r="D16" s="77">
        <v>0.005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50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399</v>
      </c>
      <c r="C20" s="75" t="s">
        <v>423</v>
      </c>
      <c r="D20" s="94">
        <v>1.0</v>
      </c>
      <c r="E20" s="75" t="s">
        <v>47</v>
      </c>
      <c r="F20" s="75"/>
      <c r="G20" s="75" t="s">
        <v>68</v>
      </c>
      <c r="H20" s="81">
        <v>2500.0</v>
      </c>
      <c r="I20" s="80"/>
      <c r="J20" s="95">
        <f t="shared" si="2"/>
        <v>2500</v>
      </c>
    </row>
    <row r="21">
      <c r="A21" s="75">
        <v>8.0</v>
      </c>
      <c r="B21" s="76" t="s">
        <v>425</v>
      </c>
      <c r="C21" s="75" t="s">
        <v>423</v>
      </c>
      <c r="D21" s="83">
        <v>6.0</v>
      </c>
      <c r="E21" s="75" t="s">
        <v>47</v>
      </c>
      <c r="F21" s="75" t="s">
        <v>426</v>
      </c>
      <c r="G21" s="75" t="s">
        <v>427</v>
      </c>
      <c r="H21" s="81">
        <v>487.0</v>
      </c>
      <c r="I21" s="80"/>
      <c r="J21" s="39">
        <f t="shared" si="2"/>
        <v>2922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3500.0</v>
      </c>
      <c r="I28" s="88"/>
      <c r="J28" s="39">
        <f t="shared" ref="J28:J31" si="3">D28*H28</f>
        <v>3500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18000.0</v>
      </c>
      <c r="I29" s="88"/>
      <c r="J29" s="39">
        <f t="shared" si="3"/>
        <v>18000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2000.0</v>
      </c>
      <c r="I30" s="88"/>
      <c r="J30" s="39">
        <f t="shared" si="3"/>
        <v>2000</v>
      </c>
    </row>
    <row r="31">
      <c r="A31" s="75">
        <v>4.0</v>
      </c>
      <c r="B31" s="75" t="s">
        <v>429</v>
      </c>
      <c r="C31" s="86"/>
      <c r="D31" s="87">
        <v>6.0</v>
      </c>
      <c r="E31" s="75" t="s">
        <v>47</v>
      </c>
      <c r="F31" s="89"/>
      <c r="G31" s="75" t="s">
        <v>68</v>
      </c>
      <c r="H31" s="81">
        <v>750.0</v>
      </c>
      <c r="I31" s="88"/>
      <c r="J31" s="39">
        <f t="shared" si="3"/>
        <v>4500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415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61425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7080.7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23500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92005.7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420</v>
      </c>
      <c r="C10" s="75" t="s">
        <v>21</v>
      </c>
      <c r="D10" s="77">
        <f>1.1/2</f>
        <v>0.55</v>
      </c>
      <c r="E10" s="75" t="s">
        <v>23</v>
      </c>
      <c r="F10" s="78" t="s">
        <v>417</v>
      </c>
      <c r="G10" s="75" t="s">
        <v>422</v>
      </c>
      <c r="H10" s="79">
        <v>91000.0</v>
      </c>
      <c r="I10" s="81"/>
      <c r="J10" s="39">
        <f t="shared" ref="J10:J11" si="1">D10*H10</f>
        <v>50050</v>
      </c>
    </row>
    <row r="11">
      <c r="A11" s="75">
        <v>2.0</v>
      </c>
      <c r="B11" s="76" t="s">
        <v>392</v>
      </c>
      <c r="C11" s="75" t="s">
        <v>21</v>
      </c>
      <c r="D11" s="77">
        <f>1/8</f>
        <v>0.125</v>
      </c>
      <c r="E11" s="75" t="s">
        <v>148</v>
      </c>
      <c r="F11" s="78" t="s">
        <v>419</v>
      </c>
      <c r="G11" s="75" t="s">
        <v>422</v>
      </c>
      <c r="H11" s="79">
        <v>91000.0</v>
      </c>
      <c r="I11" s="81"/>
      <c r="J11" s="39">
        <f t="shared" si="1"/>
        <v>11375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4/100</f>
        <v>0.04</v>
      </c>
      <c r="E14" s="75" t="s">
        <v>35</v>
      </c>
      <c r="F14" s="75" t="s">
        <v>421</v>
      </c>
      <c r="G14" s="75" t="s">
        <v>38</v>
      </c>
      <c r="H14" s="81">
        <v>25000.0</v>
      </c>
      <c r="I14" s="80"/>
      <c r="J14" s="39">
        <f t="shared" ref="J14:J25" si="2">D14*H14</f>
        <v>1000</v>
      </c>
    </row>
    <row r="15">
      <c r="A15" s="75">
        <v>2.0</v>
      </c>
      <c r="B15" s="76" t="s">
        <v>39</v>
      </c>
      <c r="C15" s="75" t="s">
        <v>21</v>
      </c>
      <c r="D15" s="77">
        <v>0.01</v>
      </c>
      <c r="E15" s="75" t="s">
        <v>40</v>
      </c>
      <c r="F15" s="75">
        <v>0.0</v>
      </c>
      <c r="G15" s="75" t="s">
        <v>38</v>
      </c>
      <c r="H15" s="81">
        <v>13000.0</v>
      </c>
      <c r="I15" s="80"/>
      <c r="J15" s="39">
        <f t="shared" si="2"/>
        <v>130</v>
      </c>
    </row>
    <row r="16">
      <c r="A16" s="75">
        <v>3.0</v>
      </c>
      <c r="B16" s="76" t="s">
        <v>42</v>
      </c>
      <c r="C16" s="75" t="s">
        <v>21</v>
      </c>
      <c r="D16" s="77">
        <v>0.005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50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399</v>
      </c>
      <c r="C20" s="75" t="s">
        <v>423</v>
      </c>
      <c r="D20" s="94">
        <v>1.0</v>
      </c>
      <c r="E20" s="75" t="s">
        <v>47</v>
      </c>
      <c r="F20" s="75"/>
      <c r="G20" s="75" t="s">
        <v>68</v>
      </c>
      <c r="H20" s="81">
        <v>2500.0</v>
      </c>
      <c r="I20" s="80"/>
      <c r="J20" s="95">
        <f t="shared" si="2"/>
        <v>2500</v>
      </c>
    </row>
    <row r="21">
      <c r="A21" s="75">
        <v>8.0</v>
      </c>
      <c r="B21" s="76" t="s">
        <v>425</v>
      </c>
      <c r="C21" s="75" t="s">
        <v>423</v>
      </c>
      <c r="D21" s="83">
        <v>6.0</v>
      </c>
      <c r="E21" s="75" t="s">
        <v>47</v>
      </c>
      <c r="F21" s="75" t="s">
        <v>426</v>
      </c>
      <c r="G21" s="75" t="s">
        <v>427</v>
      </c>
      <c r="H21" s="81">
        <v>487.0</v>
      </c>
      <c r="I21" s="80"/>
      <c r="J21" s="39">
        <f t="shared" si="2"/>
        <v>2922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3500.0</v>
      </c>
      <c r="I28" s="88"/>
      <c r="J28" s="39">
        <f t="shared" ref="J28:J30" si="3">D28*H28</f>
        <v>3500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18000.0</v>
      </c>
      <c r="I29" s="88"/>
      <c r="J29" s="39">
        <f t="shared" si="3"/>
        <v>18000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2000.0</v>
      </c>
      <c r="I30" s="88"/>
      <c r="J30" s="39">
        <f t="shared" si="3"/>
        <v>2000</v>
      </c>
    </row>
    <row r="31">
      <c r="A31" s="75">
        <v>4.0</v>
      </c>
      <c r="B31" s="75" t="s">
        <v>429</v>
      </c>
      <c r="C31" s="86"/>
      <c r="D31" s="87">
        <v>6.0</v>
      </c>
      <c r="E31" s="75" t="s">
        <v>47</v>
      </c>
      <c r="F31" s="89"/>
      <c r="G31" s="75"/>
      <c r="H31" s="81">
        <v>750.0</v>
      </c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431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52625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7080.7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23500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83205.7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440</v>
      </c>
      <c r="C10" s="75" t="s">
        <v>21</v>
      </c>
      <c r="D10" s="77">
        <v>1.5</v>
      </c>
      <c r="E10" s="75" t="s">
        <v>148</v>
      </c>
      <c r="F10" s="78" t="s">
        <v>417</v>
      </c>
      <c r="G10" s="75" t="s">
        <v>370</v>
      </c>
      <c r="H10" s="79">
        <v>27500.0</v>
      </c>
      <c r="I10" s="81"/>
      <c r="J10" s="39">
        <f t="shared" ref="J10:J11" si="1">D10*H10</f>
        <v>41250</v>
      </c>
    </row>
    <row r="11">
      <c r="A11" s="75">
        <v>2.0</v>
      </c>
      <c r="B11" s="76" t="s">
        <v>392</v>
      </c>
      <c r="C11" s="75" t="s">
        <v>21</v>
      </c>
      <c r="D11" s="77">
        <f>1/8</f>
        <v>0.125</v>
      </c>
      <c r="E11" s="75" t="s">
        <v>148</v>
      </c>
      <c r="F11" s="78" t="s">
        <v>419</v>
      </c>
      <c r="G11" s="75" t="s">
        <v>422</v>
      </c>
      <c r="H11" s="79">
        <v>91000.0</v>
      </c>
      <c r="I11" s="81"/>
      <c r="J11" s="39">
        <f t="shared" si="1"/>
        <v>11375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4/100</f>
        <v>0.04</v>
      </c>
      <c r="E14" s="75" t="s">
        <v>35</v>
      </c>
      <c r="F14" s="75" t="s">
        <v>421</v>
      </c>
      <c r="G14" s="75" t="s">
        <v>38</v>
      </c>
      <c r="H14" s="81">
        <v>25000.0</v>
      </c>
      <c r="I14" s="80"/>
      <c r="J14" s="39">
        <f t="shared" ref="J14:J25" si="2">D14*H14</f>
        <v>1000</v>
      </c>
    </row>
    <row r="15">
      <c r="A15" s="75">
        <v>2.0</v>
      </c>
      <c r="B15" s="76" t="s">
        <v>39</v>
      </c>
      <c r="C15" s="75" t="s">
        <v>21</v>
      </c>
      <c r="D15" s="77">
        <v>0.01</v>
      </c>
      <c r="E15" s="75" t="s">
        <v>40</v>
      </c>
      <c r="F15" s="75">
        <v>0.0</v>
      </c>
      <c r="G15" s="75" t="s">
        <v>38</v>
      </c>
      <c r="H15" s="81">
        <v>13000.0</v>
      </c>
      <c r="I15" s="80"/>
      <c r="J15" s="39">
        <f t="shared" si="2"/>
        <v>130</v>
      </c>
    </row>
    <row r="16">
      <c r="A16" s="75">
        <v>3.0</v>
      </c>
      <c r="B16" s="76" t="s">
        <v>42</v>
      </c>
      <c r="C16" s="75" t="s">
        <v>21</v>
      </c>
      <c r="D16" s="77">
        <v>0.005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50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399</v>
      </c>
      <c r="C20" s="75" t="s">
        <v>423</v>
      </c>
      <c r="D20" s="94">
        <v>1.0</v>
      </c>
      <c r="E20" s="75" t="s">
        <v>47</v>
      </c>
      <c r="F20" s="75"/>
      <c r="G20" s="75" t="s">
        <v>68</v>
      </c>
      <c r="H20" s="81">
        <v>2500.0</v>
      </c>
      <c r="I20" s="80"/>
      <c r="J20" s="95">
        <f t="shared" si="2"/>
        <v>2500</v>
      </c>
    </row>
    <row r="21">
      <c r="A21" s="75">
        <v>8.0</v>
      </c>
      <c r="B21" s="76" t="s">
        <v>425</v>
      </c>
      <c r="C21" s="75" t="s">
        <v>423</v>
      </c>
      <c r="D21" s="83">
        <v>6.0</v>
      </c>
      <c r="E21" s="75" t="s">
        <v>47</v>
      </c>
      <c r="F21" s="75" t="s">
        <v>426</v>
      </c>
      <c r="G21" s="75" t="s">
        <v>427</v>
      </c>
      <c r="H21" s="81">
        <v>487.0</v>
      </c>
      <c r="I21" s="80"/>
      <c r="J21" s="39">
        <f t="shared" si="2"/>
        <v>2922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3500.0</v>
      </c>
      <c r="I28" s="88"/>
      <c r="J28" s="39">
        <f t="shared" ref="J28:J30" si="3">D28*H28</f>
        <v>3500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18000.0</v>
      </c>
      <c r="I29" s="88"/>
      <c r="J29" s="39">
        <f t="shared" si="3"/>
        <v>18000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2000.0</v>
      </c>
      <c r="I30" s="88"/>
      <c r="J30" s="39">
        <f t="shared" si="3"/>
        <v>2000</v>
      </c>
    </row>
    <row r="31">
      <c r="A31" s="75">
        <v>4.0</v>
      </c>
      <c r="B31" s="75" t="s">
        <v>429</v>
      </c>
      <c r="C31" s="86"/>
      <c r="D31" s="87">
        <v>6.0</v>
      </c>
      <c r="E31" s="75" t="s">
        <v>47</v>
      </c>
      <c r="F31" s="89"/>
      <c r="G31" s="75"/>
      <c r="H31" s="81">
        <v>750.0</v>
      </c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430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47200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SUM(J15:J22)</f>
        <v>12279.7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SUM(J29:J32)</f>
        <v>38000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97479.7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434</v>
      </c>
      <c r="C10" s="75" t="s">
        <v>21</v>
      </c>
      <c r="D10" s="77">
        <v>1.6</v>
      </c>
      <c r="E10" s="75" t="s">
        <v>128</v>
      </c>
      <c r="F10" s="78" t="s">
        <v>435</v>
      </c>
      <c r="G10" s="75" t="s">
        <v>436</v>
      </c>
      <c r="H10" s="79">
        <v>20000.0</v>
      </c>
      <c r="I10" s="81"/>
      <c r="J10" s="39">
        <f t="shared" ref="J10:J11" si="1">D10*H10</f>
        <v>32000</v>
      </c>
    </row>
    <row r="11">
      <c r="A11" s="75">
        <v>2.0</v>
      </c>
      <c r="B11" s="76" t="s">
        <v>437</v>
      </c>
      <c r="C11" s="75" t="s">
        <v>21</v>
      </c>
      <c r="D11" s="77">
        <v>1.6</v>
      </c>
      <c r="E11" s="75" t="s">
        <v>128</v>
      </c>
      <c r="F11" s="78" t="s">
        <v>438</v>
      </c>
      <c r="G11" s="75" t="s">
        <v>439</v>
      </c>
      <c r="H11" s="79">
        <v>9500.0</v>
      </c>
      <c r="I11" s="81"/>
      <c r="J11" s="39">
        <f t="shared" si="1"/>
        <v>15200</v>
      </c>
    </row>
    <row r="12">
      <c r="A12" s="75"/>
      <c r="B12" s="76"/>
      <c r="C12" s="75"/>
      <c r="D12" s="77"/>
      <c r="E12" s="75"/>
      <c r="F12" s="78"/>
      <c r="G12" s="75"/>
      <c r="H12" s="79"/>
      <c r="I12" s="81"/>
      <c r="J12" s="89"/>
    </row>
    <row r="13">
      <c r="A13" s="40" t="s">
        <v>31</v>
      </c>
      <c r="J13" s="40"/>
    </row>
    <row r="14">
      <c r="A14" s="41" t="s">
        <v>10</v>
      </c>
      <c r="B14" s="41" t="s">
        <v>11</v>
      </c>
      <c r="C14" s="41" t="s">
        <v>12</v>
      </c>
      <c r="D14" s="41" t="s">
        <v>13</v>
      </c>
      <c r="E14" s="41" t="s">
        <v>14</v>
      </c>
      <c r="F14" s="41" t="s">
        <v>32</v>
      </c>
      <c r="G14" s="41" t="s">
        <v>16</v>
      </c>
      <c r="H14" s="41" t="s">
        <v>17</v>
      </c>
      <c r="I14" s="41" t="s">
        <v>18</v>
      </c>
      <c r="J14" s="41" t="s">
        <v>19</v>
      </c>
    </row>
    <row r="15">
      <c r="A15" s="75">
        <v>1.0</v>
      </c>
      <c r="B15" s="76" t="s">
        <v>33</v>
      </c>
      <c r="C15" s="75" t="s">
        <v>21</v>
      </c>
      <c r="D15" s="77">
        <f>4/100</f>
        <v>0.04</v>
      </c>
      <c r="E15" s="75" t="s">
        <v>35</v>
      </c>
      <c r="F15" s="75" t="s">
        <v>421</v>
      </c>
      <c r="G15" s="75" t="s">
        <v>38</v>
      </c>
      <c r="H15" s="81">
        <v>25000.0</v>
      </c>
      <c r="I15" s="80"/>
      <c r="J15" s="39">
        <f t="shared" ref="J15:J26" si="2">D15*H15</f>
        <v>1000</v>
      </c>
    </row>
    <row r="16">
      <c r="A16" s="75">
        <v>2.0</v>
      </c>
      <c r="B16" s="76" t="s">
        <v>39</v>
      </c>
      <c r="C16" s="75" t="s">
        <v>21</v>
      </c>
      <c r="D16" s="77">
        <v>0.01</v>
      </c>
      <c r="E16" s="75" t="s">
        <v>40</v>
      </c>
      <c r="F16" s="75">
        <v>0.0</v>
      </c>
      <c r="G16" s="75" t="s">
        <v>38</v>
      </c>
      <c r="H16" s="81">
        <v>13000.0</v>
      </c>
      <c r="I16" s="80"/>
      <c r="J16" s="39">
        <f t="shared" si="2"/>
        <v>130</v>
      </c>
    </row>
    <row r="17">
      <c r="A17" s="75">
        <v>3.0</v>
      </c>
      <c r="B17" s="76" t="s">
        <v>42</v>
      </c>
      <c r="C17" s="75" t="s">
        <v>21</v>
      </c>
      <c r="D17" s="77">
        <v>0.005</v>
      </c>
      <c r="E17" s="75" t="s">
        <v>43</v>
      </c>
      <c r="F17" s="75" t="s">
        <v>198</v>
      </c>
      <c r="G17" s="75" t="s">
        <v>38</v>
      </c>
      <c r="H17" s="81">
        <v>10000.0</v>
      </c>
      <c r="I17" s="80"/>
      <c r="J17" s="39">
        <f t="shared" si="2"/>
        <v>50</v>
      </c>
    </row>
    <row r="18">
      <c r="A18" s="75">
        <v>4.0</v>
      </c>
      <c r="B18" s="76" t="s">
        <v>45</v>
      </c>
      <c r="C18" s="75" t="s">
        <v>46</v>
      </c>
      <c r="D18" s="77">
        <v>1.0</v>
      </c>
      <c r="E18" s="75" t="s">
        <v>47</v>
      </c>
      <c r="F18" s="75" t="s">
        <v>48</v>
      </c>
      <c r="G18" s="75" t="s">
        <v>49</v>
      </c>
      <c r="H18" s="81">
        <v>370.0</v>
      </c>
      <c r="I18" s="80"/>
      <c r="J18" s="39">
        <f t="shared" si="2"/>
        <v>370</v>
      </c>
    </row>
    <row r="19">
      <c r="A19" s="75">
        <v>5.0</v>
      </c>
      <c r="B19" s="76" t="s">
        <v>50</v>
      </c>
      <c r="C19" s="75" t="s">
        <v>46</v>
      </c>
      <c r="D19" s="77">
        <f>1/10</f>
        <v>0.1</v>
      </c>
      <c r="E19" s="75" t="s">
        <v>47</v>
      </c>
      <c r="F19" s="75" t="s">
        <v>51</v>
      </c>
      <c r="G19" s="75" t="s">
        <v>52</v>
      </c>
      <c r="H19" s="81">
        <v>587.0</v>
      </c>
      <c r="I19" s="80"/>
      <c r="J19" s="39">
        <f t="shared" si="2"/>
        <v>58.7</v>
      </c>
    </row>
    <row r="20">
      <c r="A20" s="75">
        <v>6.0</v>
      </c>
      <c r="B20" s="76" t="s">
        <v>53</v>
      </c>
      <c r="C20" s="75" t="s">
        <v>54</v>
      </c>
      <c r="D20" s="77">
        <v>0.01</v>
      </c>
      <c r="E20" s="75" t="s">
        <v>47</v>
      </c>
      <c r="F20" s="75" t="s">
        <v>55</v>
      </c>
      <c r="G20" s="75" t="s">
        <v>56</v>
      </c>
      <c r="H20" s="81">
        <v>5000.0</v>
      </c>
      <c r="I20" s="80"/>
      <c r="J20" s="39">
        <f t="shared" si="2"/>
        <v>50</v>
      </c>
    </row>
    <row r="21">
      <c r="A21" s="75">
        <v>7.0</v>
      </c>
      <c r="B21" s="76" t="s">
        <v>161</v>
      </c>
      <c r="C21" s="75" t="s">
        <v>58</v>
      </c>
      <c r="D21" s="94">
        <v>1.0</v>
      </c>
      <c r="E21" s="75" t="s">
        <v>47</v>
      </c>
      <c r="F21" s="75"/>
      <c r="G21" s="75" t="s">
        <v>163</v>
      </c>
      <c r="H21" s="81">
        <v>10000.0</v>
      </c>
      <c r="I21" s="80"/>
      <c r="J21" s="95">
        <f t="shared" si="2"/>
        <v>10000</v>
      </c>
    </row>
    <row r="22">
      <c r="A22" s="75">
        <v>8.0</v>
      </c>
      <c r="B22" s="76" t="s">
        <v>354</v>
      </c>
      <c r="C22" s="75" t="s">
        <v>21</v>
      </c>
      <c r="D22" s="94">
        <f>0.45</f>
        <v>0.45</v>
      </c>
      <c r="E22" s="75" t="s">
        <v>148</v>
      </c>
      <c r="F22" s="75" t="s">
        <v>355</v>
      </c>
      <c r="G22" s="75" t="s">
        <v>356</v>
      </c>
      <c r="H22" s="81">
        <f>69000/50</f>
        <v>1380</v>
      </c>
      <c r="I22" s="80"/>
      <c r="J22" s="39">
        <f t="shared" si="2"/>
        <v>621</v>
      </c>
    </row>
    <row r="23">
      <c r="A23" s="102">
        <v>9.0</v>
      </c>
      <c r="B23" s="76" t="s">
        <v>358</v>
      </c>
      <c r="C23" s="75" t="s">
        <v>21</v>
      </c>
      <c r="D23" s="83">
        <v>1.0</v>
      </c>
      <c r="E23" s="75" t="s">
        <v>47</v>
      </c>
      <c r="F23" s="75" t="s">
        <v>359</v>
      </c>
      <c r="G23" s="75" t="s">
        <v>38</v>
      </c>
      <c r="H23" s="79">
        <f>30000/12</f>
        <v>2500</v>
      </c>
      <c r="I23" s="80"/>
      <c r="J23" s="39">
        <f t="shared" si="2"/>
        <v>2500</v>
      </c>
    </row>
    <row r="24">
      <c r="A24" s="75">
        <v>10.0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11.0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75">
        <v>12.0</v>
      </c>
      <c r="B26" s="76"/>
      <c r="C26" s="75"/>
      <c r="D26" s="83"/>
      <c r="E26" s="75"/>
      <c r="F26" s="75"/>
      <c r="G26" s="75"/>
      <c r="H26" s="81"/>
      <c r="I26" s="80"/>
      <c r="J26" s="39">
        <f t="shared" si="2"/>
        <v>0</v>
      </c>
    </row>
    <row r="27">
      <c r="A27" s="42" t="s">
        <v>63</v>
      </c>
      <c r="J27" s="42"/>
    </row>
    <row r="28">
      <c r="A28" s="43" t="s">
        <v>10</v>
      </c>
      <c r="B28" s="43" t="s">
        <v>64</v>
      </c>
      <c r="C28" s="84"/>
      <c r="D28" s="43" t="s">
        <v>13</v>
      </c>
      <c r="E28" s="43" t="s">
        <v>14</v>
      </c>
      <c r="F28" s="43" t="s">
        <v>32</v>
      </c>
      <c r="G28" s="43" t="s">
        <v>16</v>
      </c>
      <c r="H28" s="43" t="s">
        <v>65</v>
      </c>
      <c r="I28" s="85"/>
      <c r="J28" s="43" t="s">
        <v>19</v>
      </c>
    </row>
    <row r="29">
      <c r="A29" s="75">
        <v>1.0</v>
      </c>
      <c r="B29" s="75" t="s">
        <v>357</v>
      </c>
      <c r="C29" s="86"/>
      <c r="D29" s="87">
        <v>1.0</v>
      </c>
      <c r="E29" s="75" t="s">
        <v>47</v>
      </c>
      <c r="F29" s="86"/>
      <c r="G29" s="75" t="s">
        <v>68</v>
      </c>
      <c r="H29" s="81">
        <v>5000.0</v>
      </c>
      <c r="I29" s="88"/>
      <c r="J29" s="39">
        <f>D29*H29</f>
        <v>5000</v>
      </c>
    </row>
    <row r="30">
      <c r="A30" s="75">
        <v>2.0</v>
      </c>
      <c r="B30" s="75" t="s">
        <v>360</v>
      </c>
      <c r="C30" s="86"/>
      <c r="D30" s="87">
        <v>1.0</v>
      </c>
      <c r="E30" s="75" t="s">
        <v>47</v>
      </c>
      <c r="F30" s="86"/>
      <c r="G30" s="75" t="s">
        <v>68</v>
      </c>
      <c r="H30" s="81">
        <v>25000.0</v>
      </c>
      <c r="I30" s="88"/>
      <c r="J30" s="89">
        <v>28000.0</v>
      </c>
    </row>
    <row r="31">
      <c r="A31" s="75">
        <v>3.0</v>
      </c>
      <c r="B31" s="75" t="s">
        <v>362</v>
      </c>
      <c r="C31" s="86"/>
      <c r="D31" s="87">
        <v>1.0</v>
      </c>
      <c r="E31" s="75" t="s">
        <v>47</v>
      </c>
      <c r="F31" s="89"/>
      <c r="G31" s="75" t="s">
        <v>68</v>
      </c>
      <c r="H31" s="81">
        <v>5000.0</v>
      </c>
      <c r="I31" s="88"/>
      <c r="J31" s="39">
        <f>D31*H31</f>
        <v>5000</v>
      </c>
    </row>
    <row r="32">
      <c r="A32" s="75">
        <v>4.0</v>
      </c>
      <c r="B32" s="75"/>
      <c r="C32" s="86"/>
      <c r="D32" s="87"/>
      <c r="E32" s="75"/>
      <c r="F32" s="89"/>
      <c r="G32" s="75"/>
      <c r="H32" s="81"/>
      <c r="I32" s="88"/>
      <c r="J32" s="89"/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8" t="s">
        <v>432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58400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SUM(J15:J22)</f>
        <v>12279.7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SUM(J29:J32)</f>
        <v>38000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108679.7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441</v>
      </c>
      <c r="C10" s="75" t="s">
        <v>21</v>
      </c>
      <c r="D10" s="77">
        <v>1.6</v>
      </c>
      <c r="E10" s="75" t="s">
        <v>128</v>
      </c>
      <c r="F10" s="78" t="s">
        <v>435</v>
      </c>
      <c r="G10" s="75" t="s">
        <v>370</v>
      </c>
      <c r="H10" s="79">
        <v>27000.0</v>
      </c>
      <c r="I10" s="81"/>
      <c r="J10" s="39">
        <f t="shared" ref="J10:J11" si="1">D10*H10</f>
        <v>43200</v>
      </c>
    </row>
    <row r="11">
      <c r="A11" s="75">
        <v>2.0</v>
      </c>
      <c r="B11" s="76" t="s">
        <v>437</v>
      </c>
      <c r="C11" s="75" t="s">
        <v>21</v>
      </c>
      <c r="D11" s="77">
        <v>1.6</v>
      </c>
      <c r="E11" s="75" t="s">
        <v>128</v>
      </c>
      <c r="F11" s="78" t="s">
        <v>438</v>
      </c>
      <c r="G11" s="75" t="s">
        <v>439</v>
      </c>
      <c r="H11" s="79">
        <v>9500.0</v>
      </c>
      <c r="I11" s="81"/>
      <c r="J11" s="39">
        <f t="shared" si="1"/>
        <v>15200</v>
      </c>
    </row>
    <row r="12">
      <c r="A12" s="75"/>
      <c r="B12" s="76"/>
      <c r="C12" s="75"/>
      <c r="D12" s="77"/>
      <c r="E12" s="75"/>
      <c r="F12" s="78"/>
      <c r="G12" s="75"/>
      <c r="H12" s="79"/>
      <c r="I12" s="81"/>
      <c r="J12" s="89"/>
    </row>
    <row r="13">
      <c r="A13" s="40" t="s">
        <v>31</v>
      </c>
      <c r="J13" s="40"/>
    </row>
    <row r="14">
      <c r="A14" s="41" t="s">
        <v>10</v>
      </c>
      <c r="B14" s="41" t="s">
        <v>11</v>
      </c>
      <c r="C14" s="41" t="s">
        <v>12</v>
      </c>
      <c r="D14" s="41" t="s">
        <v>13</v>
      </c>
      <c r="E14" s="41" t="s">
        <v>14</v>
      </c>
      <c r="F14" s="41" t="s">
        <v>32</v>
      </c>
      <c r="G14" s="41" t="s">
        <v>16</v>
      </c>
      <c r="H14" s="41" t="s">
        <v>17</v>
      </c>
      <c r="I14" s="41" t="s">
        <v>18</v>
      </c>
      <c r="J14" s="41" t="s">
        <v>19</v>
      </c>
    </row>
    <row r="15">
      <c r="A15" s="75">
        <v>1.0</v>
      </c>
      <c r="B15" s="76" t="s">
        <v>33</v>
      </c>
      <c r="C15" s="75" t="s">
        <v>21</v>
      </c>
      <c r="D15" s="77">
        <f>4/100</f>
        <v>0.04</v>
      </c>
      <c r="E15" s="75" t="s">
        <v>35</v>
      </c>
      <c r="F15" s="75" t="s">
        <v>421</v>
      </c>
      <c r="G15" s="75" t="s">
        <v>38</v>
      </c>
      <c r="H15" s="81">
        <v>25000.0</v>
      </c>
      <c r="I15" s="80"/>
      <c r="J15" s="39">
        <f t="shared" ref="J15:J26" si="2">D15*H15</f>
        <v>1000</v>
      </c>
    </row>
    <row r="16">
      <c r="A16" s="75">
        <v>2.0</v>
      </c>
      <c r="B16" s="76" t="s">
        <v>39</v>
      </c>
      <c r="C16" s="75" t="s">
        <v>21</v>
      </c>
      <c r="D16" s="77">
        <v>0.01</v>
      </c>
      <c r="E16" s="75" t="s">
        <v>40</v>
      </c>
      <c r="F16" s="75">
        <v>0.0</v>
      </c>
      <c r="G16" s="75" t="s">
        <v>38</v>
      </c>
      <c r="H16" s="81">
        <v>13000.0</v>
      </c>
      <c r="I16" s="80"/>
      <c r="J16" s="39">
        <f t="shared" si="2"/>
        <v>130</v>
      </c>
    </row>
    <row r="17">
      <c r="A17" s="75">
        <v>3.0</v>
      </c>
      <c r="B17" s="76" t="s">
        <v>42</v>
      </c>
      <c r="C17" s="75" t="s">
        <v>21</v>
      </c>
      <c r="D17" s="77">
        <v>0.005</v>
      </c>
      <c r="E17" s="75" t="s">
        <v>43</v>
      </c>
      <c r="F17" s="75" t="s">
        <v>198</v>
      </c>
      <c r="G17" s="75" t="s">
        <v>38</v>
      </c>
      <c r="H17" s="81">
        <v>10000.0</v>
      </c>
      <c r="I17" s="80"/>
      <c r="J17" s="39">
        <f t="shared" si="2"/>
        <v>50</v>
      </c>
    </row>
    <row r="18">
      <c r="A18" s="75">
        <v>4.0</v>
      </c>
      <c r="B18" s="76" t="s">
        <v>45</v>
      </c>
      <c r="C18" s="75" t="s">
        <v>46</v>
      </c>
      <c r="D18" s="77">
        <v>1.0</v>
      </c>
      <c r="E18" s="75" t="s">
        <v>47</v>
      </c>
      <c r="F18" s="75" t="s">
        <v>48</v>
      </c>
      <c r="G18" s="75" t="s">
        <v>49</v>
      </c>
      <c r="H18" s="81">
        <v>370.0</v>
      </c>
      <c r="I18" s="80"/>
      <c r="J18" s="39">
        <f t="shared" si="2"/>
        <v>370</v>
      </c>
    </row>
    <row r="19">
      <c r="A19" s="75">
        <v>5.0</v>
      </c>
      <c r="B19" s="76" t="s">
        <v>50</v>
      </c>
      <c r="C19" s="75" t="s">
        <v>46</v>
      </c>
      <c r="D19" s="77">
        <f>1/10</f>
        <v>0.1</v>
      </c>
      <c r="E19" s="75" t="s">
        <v>47</v>
      </c>
      <c r="F19" s="75" t="s">
        <v>51</v>
      </c>
      <c r="G19" s="75" t="s">
        <v>52</v>
      </c>
      <c r="H19" s="81">
        <v>587.0</v>
      </c>
      <c r="I19" s="80"/>
      <c r="J19" s="39">
        <f t="shared" si="2"/>
        <v>58.7</v>
      </c>
    </row>
    <row r="20">
      <c r="A20" s="75">
        <v>6.0</v>
      </c>
      <c r="B20" s="76" t="s">
        <v>53</v>
      </c>
      <c r="C20" s="75" t="s">
        <v>54</v>
      </c>
      <c r="D20" s="77">
        <v>0.01</v>
      </c>
      <c r="E20" s="75" t="s">
        <v>47</v>
      </c>
      <c r="F20" s="75" t="s">
        <v>55</v>
      </c>
      <c r="G20" s="75" t="s">
        <v>56</v>
      </c>
      <c r="H20" s="81">
        <v>5000.0</v>
      </c>
      <c r="I20" s="80"/>
      <c r="J20" s="39">
        <f t="shared" si="2"/>
        <v>50</v>
      </c>
    </row>
    <row r="21">
      <c r="A21" s="75">
        <v>7.0</v>
      </c>
      <c r="B21" s="76" t="s">
        <v>161</v>
      </c>
      <c r="C21" s="75" t="s">
        <v>58</v>
      </c>
      <c r="D21" s="94">
        <v>1.0</v>
      </c>
      <c r="E21" s="75" t="s">
        <v>47</v>
      </c>
      <c r="F21" s="75"/>
      <c r="G21" s="75" t="s">
        <v>163</v>
      </c>
      <c r="H21" s="81">
        <v>10000.0</v>
      </c>
      <c r="I21" s="80"/>
      <c r="J21" s="95">
        <f t="shared" si="2"/>
        <v>10000</v>
      </c>
    </row>
    <row r="22">
      <c r="A22" s="75">
        <v>8.0</v>
      </c>
      <c r="B22" s="76" t="s">
        <v>354</v>
      </c>
      <c r="C22" s="75" t="s">
        <v>21</v>
      </c>
      <c r="D22" s="94">
        <f>0.45</f>
        <v>0.45</v>
      </c>
      <c r="E22" s="75" t="s">
        <v>148</v>
      </c>
      <c r="F22" s="75" t="s">
        <v>355</v>
      </c>
      <c r="G22" s="75" t="s">
        <v>356</v>
      </c>
      <c r="H22" s="81">
        <f>69000/50</f>
        <v>1380</v>
      </c>
      <c r="I22" s="80"/>
      <c r="J22" s="39">
        <f t="shared" si="2"/>
        <v>621</v>
      </c>
    </row>
    <row r="23">
      <c r="A23" s="75">
        <v>9.0</v>
      </c>
      <c r="B23" s="76" t="s">
        <v>358</v>
      </c>
      <c r="C23" s="75" t="s">
        <v>21</v>
      </c>
      <c r="D23" s="83">
        <v>1.0</v>
      </c>
      <c r="E23" s="75" t="s">
        <v>47</v>
      </c>
      <c r="F23" s="75" t="s">
        <v>359</v>
      </c>
      <c r="G23" s="75" t="s">
        <v>38</v>
      </c>
      <c r="H23" s="79">
        <f>30000/12</f>
        <v>2500</v>
      </c>
      <c r="I23" s="80"/>
      <c r="J23" s="39">
        <f t="shared" si="2"/>
        <v>2500</v>
      </c>
    </row>
    <row r="24">
      <c r="A24" s="75">
        <v>10.0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11.0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75">
        <v>12.0</v>
      </c>
      <c r="B26" s="76"/>
      <c r="C26" s="75"/>
      <c r="D26" s="83"/>
      <c r="E26" s="75"/>
      <c r="F26" s="75"/>
      <c r="G26" s="75"/>
      <c r="H26" s="81"/>
      <c r="I26" s="80"/>
      <c r="J26" s="39">
        <f t="shared" si="2"/>
        <v>0</v>
      </c>
    </row>
    <row r="27">
      <c r="A27" s="42" t="s">
        <v>63</v>
      </c>
      <c r="J27" s="42"/>
    </row>
    <row r="28">
      <c r="A28" s="43" t="s">
        <v>10</v>
      </c>
      <c r="B28" s="43" t="s">
        <v>64</v>
      </c>
      <c r="C28" s="84"/>
      <c r="D28" s="43" t="s">
        <v>13</v>
      </c>
      <c r="E28" s="43" t="s">
        <v>14</v>
      </c>
      <c r="F28" s="43" t="s">
        <v>32</v>
      </c>
      <c r="G28" s="43" t="s">
        <v>16</v>
      </c>
      <c r="H28" s="43" t="s">
        <v>65</v>
      </c>
      <c r="I28" s="85"/>
      <c r="J28" s="43" t="s">
        <v>19</v>
      </c>
    </row>
    <row r="29">
      <c r="A29" s="75">
        <v>1.0</v>
      </c>
      <c r="B29" s="75" t="s">
        <v>357</v>
      </c>
      <c r="C29" s="86"/>
      <c r="D29" s="87">
        <v>1.0</v>
      </c>
      <c r="E29" s="75" t="s">
        <v>47</v>
      </c>
      <c r="F29" s="86"/>
      <c r="G29" s="75" t="s">
        <v>68</v>
      </c>
      <c r="H29" s="81">
        <v>5000.0</v>
      </c>
      <c r="I29" s="88"/>
      <c r="J29" s="39">
        <f>D29*H29</f>
        <v>5000</v>
      </c>
    </row>
    <row r="30">
      <c r="A30" s="75">
        <v>2.0</v>
      </c>
      <c r="B30" s="75" t="s">
        <v>360</v>
      </c>
      <c r="C30" s="86"/>
      <c r="D30" s="87">
        <v>1.0</v>
      </c>
      <c r="E30" s="75" t="s">
        <v>47</v>
      </c>
      <c r="F30" s="86"/>
      <c r="G30" s="75" t="s">
        <v>68</v>
      </c>
      <c r="H30" s="81">
        <v>25000.0</v>
      </c>
      <c r="I30" s="88"/>
      <c r="J30" s="89">
        <v>28000.0</v>
      </c>
    </row>
    <row r="31">
      <c r="A31" s="75">
        <v>3.0</v>
      </c>
      <c r="B31" s="75" t="s">
        <v>362</v>
      </c>
      <c r="C31" s="86"/>
      <c r="D31" s="87">
        <v>1.0</v>
      </c>
      <c r="E31" s="75" t="s">
        <v>47</v>
      </c>
      <c r="F31" s="89"/>
      <c r="G31" s="75" t="s">
        <v>68</v>
      </c>
      <c r="H31" s="81">
        <v>5000.0</v>
      </c>
      <c r="I31" s="88"/>
      <c r="J31" s="39">
        <f>D31*H31</f>
        <v>5000</v>
      </c>
    </row>
    <row r="32">
      <c r="A32" s="75">
        <v>4.0</v>
      </c>
      <c r="B32" s="75"/>
      <c r="C32" s="86"/>
      <c r="D32" s="87"/>
      <c r="E32" s="75"/>
      <c r="F32" s="89"/>
      <c r="G32" s="75"/>
      <c r="H32" s="81"/>
      <c r="I32" s="88"/>
      <c r="J32" s="89"/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433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3"/>
      <c r="B3" s="8" t="s">
        <v>4</v>
      </c>
      <c r="C3" s="97">
        <f>SUM(J10:J11)</f>
        <v>71200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98">
        <f>SUM(J15:J22)</f>
        <v>12279.7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99">
        <f>SUM(J29:J32)</f>
        <v>38000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00">
        <f>SUM(C3:D5)</f>
        <v>121479.7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101" t="s">
        <v>442</v>
      </c>
      <c r="C10" s="19" t="s">
        <v>21</v>
      </c>
      <c r="D10" s="111">
        <v>1.6</v>
      </c>
      <c r="E10" s="102" t="s">
        <v>128</v>
      </c>
      <c r="F10" s="44" t="s">
        <v>435</v>
      </c>
      <c r="G10" s="102" t="s">
        <v>193</v>
      </c>
      <c r="H10" s="103">
        <v>35000.0</v>
      </c>
      <c r="I10" s="109">
        <v>30000.0</v>
      </c>
      <c r="J10" s="23">
        <f t="shared" ref="J10:J11" si="1">D10*H10</f>
        <v>56000</v>
      </c>
    </row>
    <row r="11">
      <c r="A11" s="19">
        <v>2.0</v>
      </c>
      <c r="B11" s="20" t="s">
        <v>437</v>
      </c>
      <c r="C11" s="19" t="s">
        <v>21</v>
      </c>
      <c r="D11" s="21">
        <v>1.6</v>
      </c>
      <c r="E11" s="101" t="s">
        <v>128</v>
      </c>
      <c r="F11" s="44" t="s">
        <v>438</v>
      </c>
      <c r="G11" s="19" t="s">
        <v>439</v>
      </c>
      <c r="H11" s="52">
        <v>9500.0</v>
      </c>
      <c r="I11" s="62"/>
      <c r="J11" s="23">
        <f t="shared" si="1"/>
        <v>15200</v>
      </c>
    </row>
    <row r="12">
      <c r="A12" s="20"/>
      <c r="B12" s="20"/>
      <c r="C12" s="20"/>
      <c r="D12" s="56"/>
      <c r="E12" s="20"/>
      <c r="F12" s="53"/>
      <c r="G12" s="20"/>
      <c r="H12" s="57"/>
      <c r="I12" s="62"/>
      <c r="J12" s="35"/>
    </row>
    <row r="13">
      <c r="A13" s="25" t="s">
        <v>31</v>
      </c>
      <c r="J13" s="26"/>
    </row>
    <row r="14">
      <c r="A14" s="27" t="s">
        <v>10</v>
      </c>
      <c r="B14" s="27" t="s">
        <v>11</v>
      </c>
      <c r="C14" s="27" t="s">
        <v>12</v>
      </c>
      <c r="D14" s="45" t="s">
        <v>13</v>
      </c>
      <c r="E14" s="27" t="s">
        <v>14</v>
      </c>
      <c r="F14" s="27" t="s">
        <v>32</v>
      </c>
      <c r="G14" s="27" t="s">
        <v>16</v>
      </c>
      <c r="H14" s="46" t="s">
        <v>17</v>
      </c>
      <c r="I14" s="47" t="s">
        <v>18</v>
      </c>
      <c r="J14" s="27" t="s">
        <v>19</v>
      </c>
    </row>
    <row r="15">
      <c r="A15" s="75">
        <v>1.0</v>
      </c>
      <c r="B15" s="76" t="s">
        <v>33</v>
      </c>
      <c r="C15" s="75" t="s">
        <v>21</v>
      </c>
      <c r="D15" s="77">
        <f>4/100</f>
        <v>0.04</v>
      </c>
      <c r="E15" s="75" t="s">
        <v>35</v>
      </c>
      <c r="F15" s="75" t="s">
        <v>421</v>
      </c>
      <c r="G15" s="75" t="s">
        <v>38</v>
      </c>
      <c r="H15" s="81">
        <v>25000.0</v>
      </c>
      <c r="I15" s="80"/>
      <c r="J15" s="39">
        <f t="shared" ref="J15:J26" si="2">D15*H15</f>
        <v>1000</v>
      </c>
    </row>
    <row r="16">
      <c r="A16" s="75">
        <v>2.0</v>
      </c>
      <c r="B16" s="76" t="s">
        <v>39</v>
      </c>
      <c r="C16" s="75" t="s">
        <v>21</v>
      </c>
      <c r="D16" s="77">
        <v>0.01</v>
      </c>
      <c r="E16" s="75" t="s">
        <v>40</v>
      </c>
      <c r="F16" s="75">
        <v>0.0</v>
      </c>
      <c r="G16" s="75" t="s">
        <v>38</v>
      </c>
      <c r="H16" s="81">
        <v>13000.0</v>
      </c>
      <c r="I16" s="80"/>
      <c r="J16" s="39">
        <f t="shared" si="2"/>
        <v>130</v>
      </c>
    </row>
    <row r="17">
      <c r="A17" s="75">
        <v>3.0</v>
      </c>
      <c r="B17" s="76" t="s">
        <v>42</v>
      </c>
      <c r="C17" s="75" t="s">
        <v>21</v>
      </c>
      <c r="D17" s="77">
        <v>0.005</v>
      </c>
      <c r="E17" s="75" t="s">
        <v>43</v>
      </c>
      <c r="F17" s="75" t="s">
        <v>198</v>
      </c>
      <c r="G17" s="75" t="s">
        <v>38</v>
      </c>
      <c r="H17" s="81">
        <v>10000.0</v>
      </c>
      <c r="I17" s="80"/>
      <c r="J17" s="39">
        <f t="shared" si="2"/>
        <v>50</v>
      </c>
    </row>
    <row r="18">
      <c r="A18" s="75">
        <v>4.0</v>
      </c>
      <c r="B18" s="76" t="s">
        <v>45</v>
      </c>
      <c r="C18" s="75" t="s">
        <v>46</v>
      </c>
      <c r="D18" s="77">
        <v>1.0</v>
      </c>
      <c r="E18" s="75" t="s">
        <v>47</v>
      </c>
      <c r="F18" s="75" t="s">
        <v>48</v>
      </c>
      <c r="G18" s="75" t="s">
        <v>49</v>
      </c>
      <c r="H18" s="81">
        <v>370.0</v>
      </c>
      <c r="I18" s="80"/>
      <c r="J18" s="39">
        <f t="shared" si="2"/>
        <v>370</v>
      </c>
    </row>
    <row r="19">
      <c r="A19" s="75">
        <v>5.0</v>
      </c>
      <c r="B19" s="76" t="s">
        <v>50</v>
      </c>
      <c r="C19" s="75" t="s">
        <v>46</v>
      </c>
      <c r="D19" s="77">
        <f>1/10</f>
        <v>0.1</v>
      </c>
      <c r="E19" s="75" t="s">
        <v>47</v>
      </c>
      <c r="F19" s="75" t="s">
        <v>51</v>
      </c>
      <c r="G19" s="75" t="s">
        <v>52</v>
      </c>
      <c r="H19" s="81">
        <v>587.0</v>
      </c>
      <c r="I19" s="80"/>
      <c r="J19" s="39">
        <f t="shared" si="2"/>
        <v>58.7</v>
      </c>
    </row>
    <row r="20">
      <c r="A20" s="75">
        <v>6.0</v>
      </c>
      <c r="B20" s="76" t="s">
        <v>53</v>
      </c>
      <c r="C20" s="75" t="s">
        <v>54</v>
      </c>
      <c r="D20" s="77">
        <v>0.01</v>
      </c>
      <c r="E20" s="75" t="s">
        <v>47</v>
      </c>
      <c r="F20" s="75" t="s">
        <v>55</v>
      </c>
      <c r="G20" s="75" t="s">
        <v>56</v>
      </c>
      <c r="H20" s="81">
        <v>5000.0</v>
      </c>
      <c r="I20" s="80"/>
      <c r="J20" s="39">
        <f t="shared" si="2"/>
        <v>50</v>
      </c>
    </row>
    <row r="21">
      <c r="A21" s="19">
        <v>7.0</v>
      </c>
      <c r="B21" s="20" t="s">
        <v>161</v>
      </c>
      <c r="C21" s="101" t="s">
        <v>58</v>
      </c>
      <c r="D21" s="104">
        <v>1.0</v>
      </c>
      <c r="E21" s="101" t="s">
        <v>47</v>
      </c>
      <c r="F21" s="20"/>
      <c r="G21" s="19" t="s">
        <v>163</v>
      </c>
      <c r="H21" s="22">
        <v>10000.0</v>
      </c>
      <c r="I21" s="24"/>
      <c r="J21" s="105">
        <f t="shared" si="2"/>
        <v>10000</v>
      </c>
    </row>
    <row r="22">
      <c r="A22" s="19">
        <v>8.0</v>
      </c>
      <c r="B22" s="76" t="s">
        <v>354</v>
      </c>
      <c r="C22" s="75" t="s">
        <v>21</v>
      </c>
      <c r="D22" s="94">
        <f>0.45</f>
        <v>0.45</v>
      </c>
      <c r="E22" s="75" t="s">
        <v>148</v>
      </c>
      <c r="F22" s="75" t="s">
        <v>355</v>
      </c>
      <c r="G22" s="75" t="s">
        <v>356</v>
      </c>
      <c r="H22" s="81">
        <f>69000/50</f>
        <v>1380</v>
      </c>
      <c r="I22" s="24"/>
      <c r="J22" s="23">
        <f t="shared" si="2"/>
        <v>621</v>
      </c>
    </row>
    <row r="23">
      <c r="A23" s="19">
        <v>9.0</v>
      </c>
      <c r="B23" s="76" t="s">
        <v>358</v>
      </c>
      <c r="C23" s="75" t="s">
        <v>21</v>
      </c>
      <c r="D23" s="83">
        <v>1.0</v>
      </c>
      <c r="E23" s="75" t="s">
        <v>47</v>
      </c>
      <c r="F23" s="75" t="s">
        <v>359</v>
      </c>
      <c r="G23" s="75" t="s">
        <v>38</v>
      </c>
      <c r="H23" s="79">
        <f>30000/12</f>
        <v>2500</v>
      </c>
      <c r="I23" s="24"/>
      <c r="J23" s="23">
        <f t="shared" si="2"/>
        <v>2500</v>
      </c>
    </row>
    <row r="24">
      <c r="A24" s="19">
        <v>10.0</v>
      </c>
      <c r="B24" s="20"/>
      <c r="C24" s="20"/>
      <c r="D24" s="61"/>
      <c r="E24" s="20"/>
      <c r="F24" s="20"/>
      <c r="G24" s="20"/>
      <c r="H24" s="62"/>
      <c r="I24" s="24"/>
      <c r="J24" s="23">
        <f t="shared" si="2"/>
        <v>0</v>
      </c>
    </row>
    <row r="25">
      <c r="A25" s="19">
        <v>11.0</v>
      </c>
      <c r="B25" s="20"/>
      <c r="C25" s="20"/>
      <c r="D25" s="61"/>
      <c r="E25" s="20"/>
      <c r="F25" s="20"/>
      <c r="G25" s="20"/>
      <c r="H25" s="62"/>
      <c r="I25" s="24"/>
      <c r="J25" s="23">
        <f t="shared" si="2"/>
        <v>0</v>
      </c>
    </row>
    <row r="26">
      <c r="A26" s="19">
        <v>12.0</v>
      </c>
      <c r="B26" s="20"/>
      <c r="C26" s="20"/>
      <c r="D26" s="61"/>
      <c r="E26" s="20"/>
      <c r="F26" s="20"/>
      <c r="G26" s="20"/>
      <c r="H26" s="62"/>
      <c r="I26" s="20"/>
      <c r="J26" s="23">
        <f t="shared" si="2"/>
        <v>0</v>
      </c>
    </row>
    <row r="27">
      <c r="A27" s="29" t="s">
        <v>63</v>
      </c>
      <c r="J27" s="30"/>
    </row>
    <row r="28">
      <c r="A28" s="31" t="s">
        <v>10</v>
      </c>
      <c r="B28" s="31" t="s">
        <v>64</v>
      </c>
      <c r="C28" s="32"/>
      <c r="D28" s="48" t="s">
        <v>13</v>
      </c>
      <c r="E28" s="31" t="s">
        <v>14</v>
      </c>
      <c r="F28" s="49" t="s">
        <v>32</v>
      </c>
      <c r="G28" s="31" t="s">
        <v>16</v>
      </c>
      <c r="H28" s="50" t="s">
        <v>65</v>
      </c>
      <c r="I28" s="32"/>
      <c r="J28" s="31" t="s">
        <v>19</v>
      </c>
    </row>
    <row r="29">
      <c r="A29" s="19">
        <v>1.0</v>
      </c>
      <c r="B29" s="19" t="s">
        <v>357</v>
      </c>
      <c r="C29" s="33"/>
      <c r="D29" s="34">
        <v>1.0</v>
      </c>
      <c r="E29" s="19" t="s">
        <v>47</v>
      </c>
      <c r="F29" s="33"/>
      <c r="G29" s="19" t="s">
        <v>68</v>
      </c>
      <c r="H29" s="22">
        <v>5000.0</v>
      </c>
      <c r="I29" s="33"/>
      <c r="J29" s="23">
        <f t="shared" ref="J29:J31" si="3">D29*H29</f>
        <v>5000</v>
      </c>
    </row>
    <row r="30">
      <c r="A30" s="19">
        <v>2.0</v>
      </c>
      <c r="B30" s="19" t="s">
        <v>360</v>
      </c>
      <c r="C30" s="33"/>
      <c r="D30" s="34">
        <v>1.0</v>
      </c>
      <c r="E30" s="19" t="s">
        <v>47</v>
      </c>
      <c r="F30" s="35"/>
      <c r="G30" s="19" t="s">
        <v>68</v>
      </c>
      <c r="H30" s="109">
        <v>28000.0</v>
      </c>
      <c r="I30" s="33"/>
      <c r="J30" s="23">
        <f t="shared" si="3"/>
        <v>28000</v>
      </c>
    </row>
    <row r="31">
      <c r="A31" s="19">
        <v>3.0</v>
      </c>
      <c r="B31" s="19" t="s">
        <v>362</v>
      </c>
      <c r="C31" s="33"/>
      <c r="D31" s="34">
        <v>1.0</v>
      </c>
      <c r="E31" s="19" t="s">
        <v>47</v>
      </c>
      <c r="F31" s="35"/>
      <c r="G31" s="19" t="s">
        <v>68</v>
      </c>
      <c r="H31" s="22">
        <v>5000.0</v>
      </c>
      <c r="I31" s="33"/>
      <c r="J31" s="23">
        <f t="shared" si="3"/>
        <v>5000</v>
      </c>
    </row>
    <row r="32">
      <c r="A32" s="19">
        <v>4.0</v>
      </c>
      <c r="B32" s="20"/>
      <c r="C32" s="33"/>
      <c r="D32" s="69"/>
      <c r="E32" s="20"/>
      <c r="F32" s="35"/>
      <c r="G32" s="20"/>
      <c r="H32" s="62"/>
      <c r="I32" s="33"/>
      <c r="J32" s="35"/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443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3"/>
      <c r="B3" s="8" t="s">
        <v>4</v>
      </c>
      <c r="C3" s="97">
        <f>SUM(J10:J11)</f>
        <v>79200</v>
      </c>
      <c r="D3" s="6"/>
      <c r="E3" s="7"/>
      <c r="F3" s="1"/>
      <c r="G3" s="1"/>
      <c r="H3" s="1"/>
      <c r="I3" s="1"/>
      <c r="J3" s="1"/>
    </row>
    <row r="4">
      <c r="A4" s="3"/>
      <c r="B4" s="10" t="s">
        <v>6</v>
      </c>
      <c r="C4" s="98">
        <f>SUM(J15:J22)</f>
        <v>12279.7</v>
      </c>
      <c r="D4" s="6"/>
      <c r="E4" s="7"/>
      <c r="F4" s="1"/>
      <c r="G4" s="1"/>
      <c r="H4" s="1"/>
      <c r="I4" s="1"/>
      <c r="J4" s="1"/>
    </row>
    <row r="5">
      <c r="A5" s="3"/>
      <c r="B5" s="12" t="s">
        <v>7</v>
      </c>
      <c r="C5" s="99">
        <f>SUM(J29:J32)</f>
        <v>38000</v>
      </c>
      <c r="D5" s="6"/>
      <c r="E5" s="7"/>
      <c r="F5" s="1"/>
      <c r="G5" s="1"/>
      <c r="H5" s="1"/>
      <c r="I5" s="1"/>
      <c r="J5" s="1"/>
    </row>
    <row r="6">
      <c r="A6" s="3"/>
      <c r="B6" s="4" t="s">
        <v>8</v>
      </c>
      <c r="C6" s="100">
        <f>SUM(C3:D5)</f>
        <v>129479.7</v>
      </c>
      <c r="D6" s="6"/>
      <c r="E6" s="7"/>
      <c r="F6" s="1"/>
      <c r="G6" s="1"/>
      <c r="H6" s="1"/>
      <c r="I6" s="1"/>
      <c r="J6" s="1"/>
    </row>
    <row r="7">
      <c r="A7" s="1"/>
      <c r="B7" s="15"/>
      <c r="C7" s="15"/>
      <c r="D7" s="15"/>
      <c r="E7" s="1"/>
      <c r="F7" s="1"/>
      <c r="G7" s="1"/>
      <c r="H7" s="1"/>
      <c r="I7" s="1"/>
      <c r="J7" s="1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101" t="s">
        <v>219</v>
      </c>
      <c r="C10" s="19" t="s">
        <v>21</v>
      </c>
      <c r="D10" s="111">
        <v>1.6</v>
      </c>
      <c r="E10" s="102" t="s">
        <v>128</v>
      </c>
      <c r="F10" s="44" t="s">
        <v>435</v>
      </c>
      <c r="G10" s="102" t="s">
        <v>193</v>
      </c>
      <c r="H10" s="103">
        <v>40000.0</v>
      </c>
      <c r="I10" s="109">
        <v>35000.0</v>
      </c>
      <c r="J10" s="23">
        <f t="shared" ref="J10:J11" si="1">D10*H10</f>
        <v>64000</v>
      </c>
    </row>
    <row r="11">
      <c r="A11" s="19">
        <v>2.0</v>
      </c>
      <c r="B11" s="20" t="s">
        <v>437</v>
      </c>
      <c r="C11" s="19" t="s">
        <v>21</v>
      </c>
      <c r="D11" s="21">
        <v>1.6</v>
      </c>
      <c r="E11" s="101" t="s">
        <v>128</v>
      </c>
      <c r="F11" s="44" t="s">
        <v>438</v>
      </c>
      <c r="G11" s="19" t="s">
        <v>439</v>
      </c>
      <c r="H11" s="52">
        <v>9500.0</v>
      </c>
      <c r="I11" s="62"/>
      <c r="J11" s="23">
        <f t="shared" si="1"/>
        <v>15200</v>
      </c>
    </row>
    <row r="12">
      <c r="A12" s="20"/>
      <c r="B12" s="20"/>
      <c r="C12" s="20"/>
      <c r="D12" s="56"/>
      <c r="E12" s="20"/>
      <c r="F12" s="53"/>
      <c r="G12" s="20"/>
      <c r="H12" s="57"/>
      <c r="I12" s="62"/>
      <c r="J12" s="35"/>
    </row>
    <row r="13">
      <c r="A13" s="25" t="s">
        <v>31</v>
      </c>
      <c r="J13" s="26"/>
    </row>
    <row r="14">
      <c r="A14" s="27" t="s">
        <v>10</v>
      </c>
      <c r="B14" s="27" t="s">
        <v>11</v>
      </c>
      <c r="C14" s="27" t="s">
        <v>12</v>
      </c>
      <c r="D14" s="45" t="s">
        <v>13</v>
      </c>
      <c r="E14" s="27" t="s">
        <v>14</v>
      </c>
      <c r="F14" s="27" t="s">
        <v>32</v>
      </c>
      <c r="G14" s="27" t="s">
        <v>16</v>
      </c>
      <c r="H14" s="46" t="s">
        <v>17</v>
      </c>
      <c r="I14" s="47" t="s">
        <v>18</v>
      </c>
      <c r="J14" s="27" t="s">
        <v>19</v>
      </c>
    </row>
    <row r="15">
      <c r="A15" s="75">
        <v>1.0</v>
      </c>
      <c r="B15" s="76" t="s">
        <v>33</v>
      </c>
      <c r="C15" s="75" t="s">
        <v>21</v>
      </c>
      <c r="D15" s="77">
        <f>4/100</f>
        <v>0.04</v>
      </c>
      <c r="E15" s="75" t="s">
        <v>35</v>
      </c>
      <c r="F15" s="75" t="s">
        <v>421</v>
      </c>
      <c r="G15" s="75" t="s">
        <v>38</v>
      </c>
      <c r="H15" s="81">
        <v>25000.0</v>
      </c>
      <c r="I15" s="80"/>
      <c r="J15" s="39">
        <f t="shared" ref="J15:J26" si="2">D15*H15</f>
        <v>1000</v>
      </c>
    </row>
    <row r="16">
      <c r="A16" s="75">
        <v>2.0</v>
      </c>
      <c r="B16" s="76" t="s">
        <v>39</v>
      </c>
      <c r="C16" s="75" t="s">
        <v>21</v>
      </c>
      <c r="D16" s="77">
        <v>0.01</v>
      </c>
      <c r="E16" s="75" t="s">
        <v>40</v>
      </c>
      <c r="F16" s="75">
        <v>0.0</v>
      </c>
      <c r="G16" s="75" t="s">
        <v>38</v>
      </c>
      <c r="H16" s="81">
        <v>13000.0</v>
      </c>
      <c r="I16" s="80"/>
      <c r="J16" s="39">
        <f t="shared" si="2"/>
        <v>130</v>
      </c>
    </row>
    <row r="17">
      <c r="A17" s="75">
        <v>3.0</v>
      </c>
      <c r="B17" s="76" t="s">
        <v>42</v>
      </c>
      <c r="C17" s="75" t="s">
        <v>21</v>
      </c>
      <c r="D17" s="77">
        <v>0.005</v>
      </c>
      <c r="E17" s="75" t="s">
        <v>43</v>
      </c>
      <c r="F17" s="75" t="s">
        <v>198</v>
      </c>
      <c r="G17" s="75" t="s">
        <v>38</v>
      </c>
      <c r="H17" s="81">
        <v>10000.0</v>
      </c>
      <c r="I17" s="80"/>
      <c r="J17" s="39">
        <f t="shared" si="2"/>
        <v>50</v>
      </c>
    </row>
    <row r="18">
      <c r="A18" s="75">
        <v>4.0</v>
      </c>
      <c r="B18" s="76" t="s">
        <v>45</v>
      </c>
      <c r="C18" s="75" t="s">
        <v>46</v>
      </c>
      <c r="D18" s="77">
        <v>1.0</v>
      </c>
      <c r="E18" s="75" t="s">
        <v>47</v>
      </c>
      <c r="F18" s="75" t="s">
        <v>48</v>
      </c>
      <c r="G18" s="75" t="s">
        <v>49</v>
      </c>
      <c r="H18" s="81">
        <v>370.0</v>
      </c>
      <c r="I18" s="80"/>
      <c r="J18" s="39">
        <f t="shared" si="2"/>
        <v>370</v>
      </c>
    </row>
    <row r="19">
      <c r="A19" s="75">
        <v>5.0</v>
      </c>
      <c r="B19" s="76" t="s">
        <v>50</v>
      </c>
      <c r="C19" s="75" t="s">
        <v>46</v>
      </c>
      <c r="D19" s="77">
        <f>1/10</f>
        <v>0.1</v>
      </c>
      <c r="E19" s="75" t="s">
        <v>47</v>
      </c>
      <c r="F19" s="75" t="s">
        <v>51</v>
      </c>
      <c r="G19" s="75" t="s">
        <v>52</v>
      </c>
      <c r="H19" s="81">
        <v>587.0</v>
      </c>
      <c r="I19" s="80"/>
      <c r="J19" s="39">
        <f t="shared" si="2"/>
        <v>58.7</v>
      </c>
    </row>
    <row r="20">
      <c r="A20" s="75">
        <v>6.0</v>
      </c>
      <c r="B20" s="76" t="s">
        <v>53</v>
      </c>
      <c r="C20" s="75" t="s">
        <v>54</v>
      </c>
      <c r="D20" s="77">
        <v>0.01</v>
      </c>
      <c r="E20" s="75" t="s">
        <v>47</v>
      </c>
      <c r="F20" s="75" t="s">
        <v>55</v>
      </c>
      <c r="G20" s="75" t="s">
        <v>56</v>
      </c>
      <c r="H20" s="81">
        <v>5000.0</v>
      </c>
      <c r="I20" s="80"/>
      <c r="J20" s="39">
        <f t="shared" si="2"/>
        <v>50</v>
      </c>
    </row>
    <row r="21">
      <c r="A21" s="19">
        <v>7.0</v>
      </c>
      <c r="B21" s="20" t="s">
        <v>161</v>
      </c>
      <c r="C21" s="101" t="s">
        <v>58</v>
      </c>
      <c r="D21" s="104">
        <v>1.0</v>
      </c>
      <c r="E21" s="101" t="s">
        <v>47</v>
      </c>
      <c r="F21" s="20"/>
      <c r="G21" s="19" t="s">
        <v>163</v>
      </c>
      <c r="H21" s="22">
        <v>10000.0</v>
      </c>
      <c r="I21" s="24"/>
      <c r="J21" s="105">
        <f t="shared" si="2"/>
        <v>10000</v>
      </c>
    </row>
    <row r="22">
      <c r="A22" s="19">
        <v>8.0</v>
      </c>
      <c r="B22" s="76" t="s">
        <v>354</v>
      </c>
      <c r="C22" s="75" t="s">
        <v>21</v>
      </c>
      <c r="D22" s="94">
        <f>0.45</f>
        <v>0.45</v>
      </c>
      <c r="E22" s="75" t="s">
        <v>148</v>
      </c>
      <c r="F22" s="75" t="s">
        <v>355</v>
      </c>
      <c r="G22" s="75" t="s">
        <v>356</v>
      </c>
      <c r="H22" s="81">
        <f>69000/50</f>
        <v>1380</v>
      </c>
      <c r="I22" s="24"/>
      <c r="J22" s="23">
        <f t="shared" si="2"/>
        <v>621</v>
      </c>
    </row>
    <row r="23">
      <c r="A23" s="19">
        <v>9.0</v>
      </c>
      <c r="B23" s="76" t="s">
        <v>358</v>
      </c>
      <c r="C23" s="75" t="s">
        <v>21</v>
      </c>
      <c r="D23" s="83">
        <v>1.0</v>
      </c>
      <c r="E23" s="75" t="s">
        <v>47</v>
      </c>
      <c r="F23" s="75" t="s">
        <v>359</v>
      </c>
      <c r="G23" s="75" t="s">
        <v>38</v>
      </c>
      <c r="H23" s="79">
        <f>30000/12</f>
        <v>2500</v>
      </c>
      <c r="I23" s="24"/>
      <c r="J23" s="23">
        <f t="shared" si="2"/>
        <v>2500</v>
      </c>
    </row>
    <row r="24">
      <c r="A24" s="19">
        <v>10.0</v>
      </c>
      <c r="B24" s="20"/>
      <c r="C24" s="20"/>
      <c r="D24" s="61"/>
      <c r="E24" s="20"/>
      <c r="F24" s="20"/>
      <c r="G24" s="20"/>
      <c r="H24" s="62"/>
      <c r="I24" s="24"/>
      <c r="J24" s="23">
        <f t="shared" si="2"/>
        <v>0</v>
      </c>
    </row>
    <row r="25">
      <c r="A25" s="19">
        <v>11.0</v>
      </c>
      <c r="B25" s="20"/>
      <c r="C25" s="20"/>
      <c r="D25" s="61"/>
      <c r="E25" s="20"/>
      <c r="F25" s="20"/>
      <c r="G25" s="20"/>
      <c r="H25" s="62"/>
      <c r="I25" s="24"/>
      <c r="J25" s="23">
        <f t="shared" si="2"/>
        <v>0</v>
      </c>
    </row>
    <row r="26">
      <c r="A26" s="19">
        <v>12.0</v>
      </c>
      <c r="B26" s="20"/>
      <c r="C26" s="20"/>
      <c r="D26" s="61"/>
      <c r="E26" s="20"/>
      <c r="F26" s="20"/>
      <c r="G26" s="20"/>
      <c r="H26" s="62"/>
      <c r="I26" s="20"/>
      <c r="J26" s="23">
        <f t="shared" si="2"/>
        <v>0</v>
      </c>
    </row>
    <row r="27">
      <c r="A27" s="29" t="s">
        <v>63</v>
      </c>
      <c r="J27" s="30"/>
    </row>
    <row r="28">
      <c r="A28" s="31" t="s">
        <v>10</v>
      </c>
      <c r="B28" s="31" t="s">
        <v>64</v>
      </c>
      <c r="C28" s="32"/>
      <c r="D28" s="48" t="s">
        <v>13</v>
      </c>
      <c r="E28" s="31" t="s">
        <v>14</v>
      </c>
      <c r="F28" s="49" t="s">
        <v>32</v>
      </c>
      <c r="G28" s="31" t="s">
        <v>16</v>
      </c>
      <c r="H28" s="50" t="s">
        <v>65</v>
      </c>
      <c r="I28" s="32"/>
      <c r="J28" s="31" t="s">
        <v>19</v>
      </c>
    </row>
    <row r="29">
      <c r="A29" s="19">
        <v>1.0</v>
      </c>
      <c r="B29" s="19" t="s">
        <v>357</v>
      </c>
      <c r="C29" s="33"/>
      <c r="D29" s="34">
        <v>1.0</v>
      </c>
      <c r="E29" s="19" t="s">
        <v>47</v>
      </c>
      <c r="F29" s="33"/>
      <c r="G29" s="19" t="s">
        <v>68</v>
      </c>
      <c r="H29" s="22">
        <v>5000.0</v>
      </c>
      <c r="I29" s="33"/>
      <c r="J29" s="23">
        <f t="shared" ref="J29:J31" si="3">D29*H29</f>
        <v>5000</v>
      </c>
    </row>
    <row r="30">
      <c r="A30" s="19">
        <v>2.0</v>
      </c>
      <c r="B30" s="19" t="s">
        <v>360</v>
      </c>
      <c r="C30" s="33"/>
      <c r="D30" s="34">
        <v>1.0</v>
      </c>
      <c r="E30" s="19" t="s">
        <v>47</v>
      </c>
      <c r="F30" s="35"/>
      <c r="G30" s="19" t="s">
        <v>68</v>
      </c>
      <c r="H30" s="109">
        <v>28000.0</v>
      </c>
      <c r="I30" s="33"/>
      <c r="J30" s="23">
        <f t="shared" si="3"/>
        <v>28000</v>
      </c>
    </row>
    <row r="31">
      <c r="A31" s="19">
        <v>3.0</v>
      </c>
      <c r="B31" s="19" t="s">
        <v>362</v>
      </c>
      <c r="C31" s="33"/>
      <c r="D31" s="34">
        <v>1.0</v>
      </c>
      <c r="E31" s="19" t="s">
        <v>47</v>
      </c>
      <c r="F31" s="35"/>
      <c r="G31" s="19" t="s">
        <v>68</v>
      </c>
      <c r="H31" s="22">
        <v>5000.0</v>
      </c>
      <c r="I31" s="33"/>
      <c r="J31" s="23">
        <f t="shared" si="3"/>
        <v>5000</v>
      </c>
    </row>
    <row r="32">
      <c r="A32" s="19">
        <v>4.0</v>
      </c>
      <c r="B32" s="20"/>
      <c r="C32" s="33"/>
      <c r="D32" s="69"/>
      <c r="E32" s="20"/>
      <c r="F32" s="35"/>
      <c r="G32" s="20"/>
      <c r="H32" s="62"/>
      <c r="I32" s="33"/>
      <c r="J32" s="35"/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444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63000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SUM(J14:J25)</f>
        <v>17093.98571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29500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109593.9857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446</v>
      </c>
      <c r="C10" s="75" t="s">
        <v>21</v>
      </c>
      <c r="D10" s="77">
        <v>2.1</v>
      </c>
      <c r="E10" s="75" t="s">
        <v>128</v>
      </c>
      <c r="F10" s="78" t="s">
        <v>447</v>
      </c>
      <c r="G10" s="75" t="s">
        <v>448</v>
      </c>
      <c r="H10" s="79">
        <v>30000.0</v>
      </c>
      <c r="I10" s="81"/>
      <c r="J10" s="39">
        <f t="shared" ref="J10:J11" si="1">D10*H10</f>
        <v>63000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4/100</f>
        <v>0.04</v>
      </c>
      <c r="E14" s="75" t="s">
        <v>35</v>
      </c>
      <c r="F14" s="75" t="s">
        <v>421</v>
      </c>
      <c r="G14" s="75" t="s">
        <v>38</v>
      </c>
      <c r="H14" s="81">
        <v>25000.0</v>
      </c>
      <c r="I14" s="80"/>
      <c r="J14" s="39">
        <f t="shared" ref="J14:J25" si="2">D14*H14</f>
        <v>1000</v>
      </c>
    </row>
    <row r="15">
      <c r="A15" s="75">
        <v>2.0</v>
      </c>
      <c r="B15" s="76" t="s">
        <v>39</v>
      </c>
      <c r="C15" s="75" t="s">
        <v>21</v>
      </c>
      <c r="D15" s="77">
        <v>0.01</v>
      </c>
      <c r="E15" s="75" t="s">
        <v>40</v>
      </c>
      <c r="F15" s="75">
        <v>0.0</v>
      </c>
      <c r="G15" s="75" t="s">
        <v>38</v>
      </c>
      <c r="H15" s="81">
        <v>13000.0</v>
      </c>
      <c r="I15" s="80"/>
      <c r="J15" s="39">
        <f t="shared" si="2"/>
        <v>130</v>
      </c>
    </row>
    <row r="16">
      <c r="A16" s="75">
        <v>3.0</v>
      </c>
      <c r="B16" s="76" t="s">
        <v>42</v>
      </c>
      <c r="C16" s="75" t="s">
        <v>21</v>
      </c>
      <c r="D16" s="77">
        <v>0.005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50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129" t="s">
        <v>449</v>
      </c>
      <c r="C20" s="75" t="s">
        <v>423</v>
      </c>
      <c r="D20" s="94">
        <v>1.0</v>
      </c>
      <c r="E20" s="75" t="s">
        <v>225</v>
      </c>
      <c r="F20" s="75" t="s">
        <v>450</v>
      </c>
      <c r="G20" s="75" t="s">
        <v>451</v>
      </c>
      <c r="H20" s="81">
        <f>34000/28</f>
        <v>1214.285714</v>
      </c>
      <c r="I20" s="80"/>
      <c r="J20" s="95">
        <f t="shared" si="2"/>
        <v>1214.285714</v>
      </c>
    </row>
    <row r="21">
      <c r="A21" s="75">
        <v>8.0</v>
      </c>
      <c r="B21" s="76" t="s">
        <v>453</v>
      </c>
      <c r="C21" s="75" t="s">
        <v>423</v>
      </c>
      <c r="D21" s="83">
        <v>2.0</v>
      </c>
      <c r="E21" s="75" t="s">
        <v>456</v>
      </c>
      <c r="F21" s="75" t="s">
        <v>457</v>
      </c>
      <c r="G21" s="75" t="s">
        <v>451</v>
      </c>
      <c r="H21" s="81">
        <v>400.0</v>
      </c>
      <c r="I21" s="80"/>
      <c r="J21" s="39">
        <f t="shared" si="2"/>
        <v>800</v>
      </c>
    </row>
    <row r="22">
      <c r="A22" s="75">
        <v>9.0</v>
      </c>
      <c r="B22" s="76" t="s">
        <v>161</v>
      </c>
      <c r="C22" s="75" t="s">
        <v>423</v>
      </c>
      <c r="D22" s="83">
        <v>1.0</v>
      </c>
      <c r="E22" s="75" t="s">
        <v>456</v>
      </c>
      <c r="F22" s="75"/>
      <c r="G22" s="75" t="s">
        <v>163</v>
      </c>
      <c r="H22" s="81">
        <v>10000.0</v>
      </c>
      <c r="I22" s="80"/>
      <c r="J22" s="39">
        <f t="shared" si="2"/>
        <v>10000</v>
      </c>
    </row>
    <row r="23">
      <c r="A23" s="75">
        <v>10.0</v>
      </c>
      <c r="B23" s="76" t="s">
        <v>458</v>
      </c>
      <c r="C23" s="75" t="s">
        <v>423</v>
      </c>
      <c r="D23" s="83">
        <v>2.0</v>
      </c>
      <c r="E23" s="75" t="s">
        <v>456</v>
      </c>
      <c r="F23" s="75" t="s">
        <v>459</v>
      </c>
      <c r="G23" s="75" t="s">
        <v>451</v>
      </c>
      <c r="H23" s="81">
        <f>9000/60</f>
        <v>150</v>
      </c>
      <c r="I23" s="80"/>
      <c r="J23" s="39">
        <f t="shared" si="2"/>
        <v>300</v>
      </c>
    </row>
    <row r="24">
      <c r="A24" s="75">
        <v>11.0</v>
      </c>
      <c r="B24" s="76" t="s">
        <v>354</v>
      </c>
      <c r="C24" s="75" t="s">
        <v>21</v>
      </c>
      <c r="D24" s="94">
        <f>0.45</f>
        <v>0.45</v>
      </c>
      <c r="E24" s="75" t="s">
        <v>148</v>
      </c>
      <c r="F24" s="75" t="s">
        <v>355</v>
      </c>
      <c r="G24" s="75" t="s">
        <v>356</v>
      </c>
      <c r="H24" s="81">
        <f>69000/50</f>
        <v>1380</v>
      </c>
      <c r="I24" s="80"/>
      <c r="J24" s="39">
        <f t="shared" si="2"/>
        <v>621</v>
      </c>
    </row>
    <row r="25">
      <c r="A25" s="75">
        <v>12.0</v>
      </c>
      <c r="B25" s="76" t="s">
        <v>358</v>
      </c>
      <c r="C25" s="75" t="s">
        <v>21</v>
      </c>
      <c r="D25" s="83">
        <v>1.0</v>
      </c>
      <c r="E25" s="75" t="s">
        <v>47</v>
      </c>
      <c r="F25" s="75" t="s">
        <v>359</v>
      </c>
      <c r="G25" s="75" t="s">
        <v>38</v>
      </c>
      <c r="H25" s="79">
        <f>30000/12</f>
        <v>2500</v>
      </c>
      <c r="I25" s="80"/>
      <c r="J25" s="39">
        <f t="shared" si="2"/>
        <v>2500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0" si="3">D28*H28</f>
        <v>5500</v>
      </c>
    </row>
    <row r="29">
      <c r="A29" s="75">
        <v>2.0</v>
      </c>
      <c r="B29" s="75" t="s">
        <v>319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20000.0</v>
      </c>
      <c r="I29" s="88"/>
      <c r="J29" s="39">
        <f t="shared" si="3"/>
        <v>20000</v>
      </c>
    </row>
    <row r="30">
      <c r="A30" s="75">
        <v>3.0</v>
      </c>
      <c r="B30" s="75" t="s">
        <v>321</v>
      </c>
      <c r="C30" s="86"/>
      <c r="D30" s="87">
        <v>1.0</v>
      </c>
      <c r="E30" s="75" t="s">
        <v>47</v>
      </c>
      <c r="F30" s="89"/>
      <c r="G30" s="75" t="s">
        <v>68</v>
      </c>
      <c r="H30" s="81">
        <v>4000.0</v>
      </c>
      <c r="I30" s="88"/>
      <c r="J30" s="39">
        <f t="shared" si="3"/>
        <v>4000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445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46200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SUM(J14:J25)</f>
        <v>17093.98571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30500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93793.98571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452</v>
      </c>
      <c r="C10" s="75" t="s">
        <v>21</v>
      </c>
      <c r="D10" s="77">
        <v>2.1</v>
      </c>
      <c r="E10" s="75" t="s">
        <v>148</v>
      </c>
      <c r="F10" s="78" t="s">
        <v>454</v>
      </c>
      <c r="G10" s="75" t="s">
        <v>455</v>
      </c>
      <c r="H10" s="79">
        <v>22000.0</v>
      </c>
      <c r="I10" s="81">
        <v>18500.0</v>
      </c>
      <c r="J10" s="39">
        <f>D10*H10</f>
        <v>46200</v>
      </c>
    </row>
    <row r="11">
      <c r="A11" s="75"/>
      <c r="B11" s="76"/>
      <c r="C11" s="75"/>
      <c r="D11" s="77"/>
      <c r="E11" s="75"/>
      <c r="F11" s="78"/>
      <c r="G11" s="75"/>
      <c r="H11" s="79"/>
      <c r="I11" s="81"/>
      <c r="J11" s="89"/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4/100</f>
        <v>0.04</v>
      </c>
      <c r="E14" s="75" t="s">
        <v>35</v>
      </c>
      <c r="F14" s="75" t="s">
        <v>421</v>
      </c>
      <c r="G14" s="75" t="s">
        <v>38</v>
      </c>
      <c r="H14" s="81">
        <v>25000.0</v>
      </c>
      <c r="I14" s="80"/>
      <c r="J14" s="39">
        <f t="shared" ref="J14:J25" si="1">D14*H14</f>
        <v>1000</v>
      </c>
    </row>
    <row r="15">
      <c r="A15" s="75">
        <v>2.0</v>
      </c>
      <c r="B15" s="76" t="s">
        <v>39</v>
      </c>
      <c r="C15" s="75" t="s">
        <v>21</v>
      </c>
      <c r="D15" s="77">
        <v>0.01</v>
      </c>
      <c r="E15" s="75" t="s">
        <v>40</v>
      </c>
      <c r="F15" s="75">
        <v>0.0</v>
      </c>
      <c r="G15" s="75" t="s">
        <v>38</v>
      </c>
      <c r="H15" s="81">
        <v>13000.0</v>
      </c>
      <c r="I15" s="80"/>
      <c r="J15" s="39">
        <f t="shared" si="1"/>
        <v>130</v>
      </c>
    </row>
    <row r="16">
      <c r="A16" s="75">
        <v>3.0</v>
      </c>
      <c r="B16" s="76" t="s">
        <v>42</v>
      </c>
      <c r="C16" s="75" t="s">
        <v>21</v>
      </c>
      <c r="D16" s="77">
        <v>0.005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1"/>
        <v>50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1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1"/>
        <v>58.7</v>
      </c>
    </row>
    <row r="19">
      <c r="A19" s="75">
        <v>6.0</v>
      </c>
      <c r="B19" s="76" t="s">
        <v>53</v>
      </c>
      <c r="C19" s="75" t="s">
        <v>54</v>
      </c>
      <c r="D19" s="77"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1"/>
        <v>50</v>
      </c>
    </row>
    <row r="20">
      <c r="A20" s="75">
        <v>7.0</v>
      </c>
      <c r="B20" s="129" t="s">
        <v>449</v>
      </c>
      <c r="C20" s="75" t="s">
        <v>423</v>
      </c>
      <c r="D20" s="94">
        <v>1.0</v>
      </c>
      <c r="E20" s="75" t="s">
        <v>225</v>
      </c>
      <c r="F20" s="75" t="s">
        <v>450</v>
      </c>
      <c r="G20" s="75" t="s">
        <v>451</v>
      </c>
      <c r="H20" s="81">
        <f>34000/28</f>
        <v>1214.285714</v>
      </c>
      <c r="I20" s="80"/>
      <c r="J20" s="95">
        <f t="shared" si="1"/>
        <v>1214.285714</v>
      </c>
    </row>
    <row r="21">
      <c r="A21" s="75">
        <v>8.0</v>
      </c>
      <c r="B21" s="76" t="s">
        <v>453</v>
      </c>
      <c r="C21" s="75" t="s">
        <v>423</v>
      </c>
      <c r="D21" s="83">
        <v>2.0</v>
      </c>
      <c r="E21" s="75" t="s">
        <v>456</v>
      </c>
      <c r="F21" s="75" t="s">
        <v>457</v>
      </c>
      <c r="G21" s="75" t="s">
        <v>451</v>
      </c>
      <c r="H21" s="81">
        <v>400.0</v>
      </c>
      <c r="I21" s="80"/>
      <c r="J21" s="39">
        <f t="shared" si="1"/>
        <v>800</v>
      </c>
    </row>
    <row r="22">
      <c r="A22" s="75">
        <v>9.0</v>
      </c>
      <c r="B22" s="76" t="s">
        <v>161</v>
      </c>
      <c r="C22" s="75" t="s">
        <v>423</v>
      </c>
      <c r="D22" s="83">
        <v>1.0</v>
      </c>
      <c r="E22" s="75" t="s">
        <v>456</v>
      </c>
      <c r="F22" s="75"/>
      <c r="G22" s="75" t="s">
        <v>163</v>
      </c>
      <c r="H22" s="81">
        <v>10000.0</v>
      </c>
      <c r="I22" s="80"/>
      <c r="J22" s="39">
        <f t="shared" si="1"/>
        <v>10000</v>
      </c>
    </row>
    <row r="23">
      <c r="A23" s="75">
        <v>10.0</v>
      </c>
      <c r="B23" s="76" t="s">
        <v>458</v>
      </c>
      <c r="C23" s="75" t="s">
        <v>423</v>
      </c>
      <c r="D23" s="83">
        <v>2.0</v>
      </c>
      <c r="E23" s="75" t="s">
        <v>456</v>
      </c>
      <c r="F23" s="75" t="s">
        <v>459</v>
      </c>
      <c r="G23" s="75" t="s">
        <v>451</v>
      </c>
      <c r="H23" s="81">
        <f>9000/60</f>
        <v>150</v>
      </c>
      <c r="I23" s="80"/>
      <c r="J23" s="39">
        <f t="shared" si="1"/>
        <v>300</v>
      </c>
    </row>
    <row r="24">
      <c r="A24" s="75">
        <v>11.0</v>
      </c>
      <c r="B24" s="76" t="s">
        <v>354</v>
      </c>
      <c r="C24" s="75" t="s">
        <v>21</v>
      </c>
      <c r="D24" s="94">
        <f>0.45</f>
        <v>0.45</v>
      </c>
      <c r="E24" s="75" t="s">
        <v>148</v>
      </c>
      <c r="F24" s="75" t="s">
        <v>355</v>
      </c>
      <c r="G24" s="75" t="s">
        <v>356</v>
      </c>
      <c r="H24" s="81">
        <f>69000/50</f>
        <v>1380</v>
      </c>
      <c r="I24" s="80"/>
      <c r="J24" s="39">
        <f t="shared" si="1"/>
        <v>621</v>
      </c>
    </row>
    <row r="25">
      <c r="A25" s="75">
        <v>12.0</v>
      </c>
      <c r="B25" s="76" t="s">
        <v>358</v>
      </c>
      <c r="C25" s="75" t="s">
        <v>21</v>
      </c>
      <c r="D25" s="83">
        <v>1.0</v>
      </c>
      <c r="E25" s="75" t="s">
        <v>47</v>
      </c>
      <c r="F25" s="75" t="s">
        <v>359</v>
      </c>
      <c r="G25" s="75" t="s">
        <v>38</v>
      </c>
      <c r="H25" s="79">
        <f>30000/12</f>
        <v>2500</v>
      </c>
      <c r="I25" s="80"/>
      <c r="J25" s="39">
        <f t="shared" si="1"/>
        <v>2500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0" si="2">D28*H28</f>
        <v>5500</v>
      </c>
    </row>
    <row r="29">
      <c r="A29" s="75">
        <v>2.0</v>
      </c>
      <c r="B29" s="75" t="s">
        <v>319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20000.0</v>
      </c>
      <c r="I29" s="88"/>
      <c r="J29" s="39">
        <f t="shared" si="2"/>
        <v>20000</v>
      </c>
    </row>
    <row r="30">
      <c r="A30" s="75">
        <v>3.0</v>
      </c>
      <c r="B30" s="75" t="s">
        <v>321</v>
      </c>
      <c r="C30" s="86"/>
      <c r="D30" s="87">
        <v>1.0</v>
      </c>
      <c r="E30" s="75" t="s">
        <v>47</v>
      </c>
      <c r="F30" s="89"/>
      <c r="G30" s="75" t="s">
        <v>68</v>
      </c>
      <c r="H30" s="81">
        <v>5000.0</v>
      </c>
      <c r="I30" s="88"/>
      <c r="J30" s="39">
        <f t="shared" si="2"/>
        <v>5000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444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54600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SUM(J14:J25)</f>
        <v>17093.98571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29500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101193.9857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460</v>
      </c>
      <c r="C10" s="75" t="s">
        <v>21</v>
      </c>
      <c r="D10" s="77">
        <v>2.1</v>
      </c>
      <c r="E10" s="75" t="s">
        <v>128</v>
      </c>
      <c r="F10" s="78" t="s">
        <v>447</v>
      </c>
      <c r="G10" s="75" t="s">
        <v>461</v>
      </c>
      <c r="H10" s="79">
        <v>26000.0</v>
      </c>
      <c r="I10" s="81"/>
      <c r="J10" s="39">
        <f t="shared" ref="J10:J11" si="1">D10*H10</f>
        <v>54600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4/100</f>
        <v>0.04</v>
      </c>
      <c r="E14" s="75" t="s">
        <v>35</v>
      </c>
      <c r="F14" s="75" t="s">
        <v>421</v>
      </c>
      <c r="G14" s="75" t="s">
        <v>38</v>
      </c>
      <c r="H14" s="81">
        <v>25000.0</v>
      </c>
      <c r="I14" s="80"/>
      <c r="J14" s="39">
        <f t="shared" ref="J14:J25" si="2">D14*H14</f>
        <v>1000</v>
      </c>
    </row>
    <row r="15">
      <c r="A15" s="75">
        <v>2.0</v>
      </c>
      <c r="B15" s="76" t="s">
        <v>39</v>
      </c>
      <c r="C15" s="75" t="s">
        <v>21</v>
      </c>
      <c r="D15" s="77">
        <v>0.01</v>
      </c>
      <c r="E15" s="75" t="s">
        <v>40</v>
      </c>
      <c r="F15" s="75">
        <v>0.0</v>
      </c>
      <c r="G15" s="75" t="s">
        <v>38</v>
      </c>
      <c r="H15" s="81">
        <v>13000.0</v>
      </c>
      <c r="I15" s="80"/>
      <c r="J15" s="39">
        <f t="shared" si="2"/>
        <v>130</v>
      </c>
    </row>
    <row r="16">
      <c r="A16" s="75">
        <v>3.0</v>
      </c>
      <c r="B16" s="76" t="s">
        <v>42</v>
      </c>
      <c r="C16" s="75" t="s">
        <v>21</v>
      </c>
      <c r="D16" s="77">
        <v>0.005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50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129" t="s">
        <v>449</v>
      </c>
      <c r="C20" s="75" t="s">
        <v>423</v>
      </c>
      <c r="D20" s="94">
        <v>1.0</v>
      </c>
      <c r="E20" s="75" t="s">
        <v>225</v>
      </c>
      <c r="F20" s="75" t="s">
        <v>450</v>
      </c>
      <c r="G20" s="75" t="s">
        <v>451</v>
      </c>
      <c r="H20" s="81">
        <f>34000/28</f>
        <v>1214.285714</v>
      </c>
      <c r="I20" s="80"/>
      <c r="J20" s="95">
        <f t="shared" si="2"/>
        <v>1214.285714</v>
      </c>
    </row>
    <row r="21">
      <c r="A21" s="75">
        <v>8.0</v>
      </c>
      <c r="B21" s="76" t="s">
        <v>453</v>
      </c>
      <c r="C21" s="75" t="s">
        <v>423</v>
      </c>
      <c r="D21" s="83">
        <v>2.0</v>
      </c>
      <c r="E21" s="75" t="s">
        <v>456</v>
      </c>
      <c r="F21" s="75" t="s">
        <v>457</v>
      </c>
      <c r="G21" s="75" t="s">
        <v>451</v>
      </c>
      <c r="H21" s="81">
        <v>400.0</v>
      </c>
      <c r="I21" s="80"/>
      <c r="J21" s="39">
        <f t="shared" si="2"/>
        <v>800</v>
      </c>
    </row>
    <row r="22">
      <c r="A22" s="75">
        <v>9.0</v>
      </c>
      <c r="B22" s="76" t="s">
        <v>161</v>
      </c>
      <c r="C22" s="75" t="s">
        <v>423</v>
      </c>
      <c r="D22" s="83">
        <v>1.0</v>
      </c>
      <c r="E22" s="75" t="s">
        <v>456</v>
      </c>
      <c r="F22" s="75"/>
      <c r="G22" s="75" t="s">
        <v>163</v>
      </c>
      <c r="H22" s="81">
        <v>10000.0</v>
      </c>
      <c r="I22" s="80"/>
      <c r="J22" s="39">
        <f t="shared" si="2"/>
        <v>10000</v>
      </c>
    </row>
    <row r="23">
      <c r="A23" s="75">
        <v>10.0</v>
      </c>
      <c r="B23" s="76" t="s">
        <v>458</v>
      </c>
      <c r="C23" s="75" t="s">
        <v>423</v>
      </c>
      <c r="D23" s="83">
        <v>2.0</v>
      </c>
      <c r="E23" s="75" t="s">
        <v>456</v>
      </c>
      <c r="F23" s="75" t="s">
        <v>459</v>
      </c>
      <c r="G23" s="75" t="s">
        <v>451</v>
      </c>
      <c r="H23" s="81">
        <f>9000/60</f>
        <v>150</v>
      </c>
      <c r="I23" s="80"/>
      <c r="J23" s="39">
        <f t="shared" si="2"/>
        <v>300</v>
      </c>
    </row>
    <row r="24">
      <c r="A24" s="75">
        <v>11.0</v>
      </c>
      <c r="B24" s="76" t="s">
        <v>354</v>
      </c>
      <c r="C24" s="75" t="s">
        <v>21</v>
      </c>
      <c r="D24" s="94">
        <f>0.45</f>
        <v>0.45</v>
      </c>
      <c r="E24" s="75" t="s">
        <v>148</v>
      </c>
      <c r="F24" s="75" t="s">
        <v>355</v>
      </c>
      <c r="G24" s="75" t="s">
        <v>356</v>
      </c>
      <c r="H24" s="81">
        <f>69000/50</f>
        <v>1380</v>
      </c>
      <c r="I24" s="80"/>
      <c r="J24" s="39">
        <f t="shared" si="2"/>
        <v>621</v>
      </c>
    </row>
    <row r="25">
      <c r="A25" s="75">
        <v>12.0</v>
      </c>
      <c r="B25" s="76" t="s">
        <v>358</v>
      </c>
      <c r="C25" s="75" t="s">
        <v>21</v>
      </c>
      <c r="D25" s="83">
        <v>1.0</v>
      </c>
      <c r="E25" s="75" t="s">
        <v>47</v>
      </c>
      <c r="F25" s="75" t="s">
        <v>359</v>
      </c>
      <c r="G25" s="75" t="s">
        <v>38</v>
      </c>
      <c r="H25" s="79">
        <f>30000/12</f>
        <v>2500</v>
      </c>
      <c r="I25" s="80"/>
      <c r="J25" s="39">
        <f t="shared" si="2"/>
        <v>2500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0" si="3">D28*H28</f>
        <v>5500</v>
      </c>
    </row>
    <row r="29">
      <c r="A29" s="75">
        <v>2.0</v>
      </c>
      <c r="B29" s="75" t="s">
        <v>319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20000.0</v>
      </c>
      <c r="I29" s="88"/>
      <c r="J29" s="39">
        <f t="shared" si="3"/>
        <v>20000</v>
      </c>
    </row>
    <row r="30">
      <c r="A30" s="75">
        <v>3.0</v>
      </c>
      <c r="B30" s="75" t="s">
        <v>321</v>
      </c>
      <c r="C30" s="86"/>
      <c r="D30" s="87">
        <v>1.0</v>
      </c>
      <c r="E30" s="75" t="s">
        <v>47</v>
      </c>
      <c r="F30" s="89"/>
      <c r="G30" s="75" t="s">
        <v>68</v>
      </c>
      <c r="H30" s="81">
        <v>4000.0</v>
      </c>
      <c r="I30" s="88"/>
      <c r="J30" s="39">
        <f t="shared" si="3"/>
        <v>4000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462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4766.666667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12534.03333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465</v>
      </c>
      <c r="C10" s="75" t="s">
        <v>466</v>
      </c>
      <c r="D10" s="77">
        <f>1/6</f>
        <v>0.1666666667</v>
      </c>
      <c r="E10" s="75" t="s">
        <v>148</v>
      </c>
      <c r="F10" s="78" t="s">
        <v>467</v>
      </c>
      <c r="G10" s="75" t="s">
        <v>468</v>
      </c>
      <c r="H10" s="79">
        <v>22000.0</v>
      </c>
      <c r="I10" s="81">
        <v>0.0</v>
      </c>
      <c r="J10" s="39">
        <f t="shared" ref="J10:J11" si="1">D10*H10</f>
        <v>3666.666667</v>
      </c>
    </row>
    <row r="11">
      <c r="A11" s="75">
        <v>2.0</v>
      </c>
      <c r="B11" s="76" t="s">
        <v>469</v>
      </c>
      <c r="C11" s="75" t="s">
        <v>466</v>
      </c>
      <c r="D11" s="77">
        <f>1/20</f>
        <v>0.05</v>
      </c>
      <c r="E11" s="75" t="s">
        <v>148</v>
      </c>
      <c r="F11" s="78" t="s">
        <v>471</v>
      </c>
      <c r="G11" s="75" t="s">
        <v>468</v>
      </c>
      <c r="H11" s="79">
        <v>22000.0</v>
      </c>
      <c r="I11" s="81"/>
      <c r="J11" s="39">
        <f t="shared" si="1"/>
        <v>1100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0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89">
        <v>2000.0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463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5665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13432.36667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465</v>
      </c>
      <c r="C10" s="75" t="s">
        <v>466</v>
      </c>
      <c r="D10" s="77">
        <f>1/5</f>
        <v>0.2</v>
      </c>
      <c r="E10" s="75" t="s">
        <v>148</v>
      </c>
      <c r="F10" s="78" t="s">
        <v>470</v>
      </c>
      <c r="G10" s="75" t="s">
        <v>468</v>
      </c>
      <c r="H10" s="79">
        <v>22000.0</v>
      </c>
      <c r="I10" s="81">
        <v>0.0</v>
      </c>
      <c r="J10" s="39">
        <f t="shared" ref="J10:J11" si="1">D10*H10</f>
        <v>4400</v>
      </c>
    </row>
    <row r="11">
      <c r="A11" s="75">
        <v>2.0</v>
      </c>
      <c r="B11" s="76" t="s">
        <v>469</v>
      </c>
      <c r="C11" s="75" t="s">
        <v>466</v>
      </c>
      <c r="D11" s="77">
        <f>1.15/20</f>
        <v>0.0575</v>
      </c>
      <c r="E11" s="75" t="s">
        <v>148</v>
      </c>
      <c r="F11" s="78" t="s">
        <v>472</v>
      </c>
      <c r="G11" s="75" t="s">
        <v>468</v>
      </c>
      <c r="H11" s="79">
        <v>22000.0</v>
      </c>
      <c r="I11" s="81"/>
      <c r="J11" s="39">
        <f t="shared" si="1"/>
        <v>1265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0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89">
        <v>2000.0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464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6930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14697.36667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465</v>
      </c>
      <c r="C10" s="75" t="s">
        <v>466</v>
      </c>
      <c r="D10" s="77">
        <f>1/4</f>
        <v>0.25</v>
      </c>
      <c r="E10" s="75" t="s">
        <v>148</v>
      </c>
      <c r="F10" s="78" t="s">
        <v>475</v>
      </c>
      <c r="G10" s="75" t="s">
        <v>468</v>
      </c>
      <c r="H10" s="79">
        <v>22000.0</v>
      </c>
      <c r="I10" s="81">
        <v>0.0</v>
      </c>
      <c r="J10" s="39">
        <f t="shared" ref="J10:J11" si="1">D10*H10</f>
        <v>5500</v>
      </c>
    </row>
    <row r="11">
      <c r="A11" s="75">
        <v>2.0</v>
      </c>
      <c r="B11" s="76" t="s">
        <v>469</v>
      </c>
      <c r="C11" s="75" t="s">
        <v>466</v>
      </c>
      <c r="D11" s="77">
        <f>1.3/20</f>
        <v>0.065</v>
      </c>
      <c r="E11" s="75" t="s">
        <v>148</v>
      </c>
      <c r="F11" s="78" t="s">
        <v>477</v>
      </c>
      <c r="G11" s="75" t="s">
        <v>468</v>
      </c>
      <c r="H11" s="79">
        <v>22000.0</v>
      </c>
      <c r="I11" s="81"/>
      <c r="J11" s="39">
        <f t="shared" si="1"/>
        <v>1430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0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89">
        <v>2000.0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463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10291.66667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3517.366667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19559.03333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483</v>
      </c>
      <c r="C10" s="75" t="s">
        <v>466</v>
      </c>
      <c r="D10" s="77">
        <f>1/6</f>
        <v>0.1666666667</v>
      </c>
      <c r="E10" s="75" t="s">
        <v>148</v>
      </c>
      <c r="F10" s="78" t="s">
        <v>467</v>
      </c>
      <c r="G10" s="75" t="s">
        <v>484</v>
      </c>
      <c r="H10" s="79">
        <v>47500.0</v>
      </c>
      <c r="I10" s="81">
        <v>42000.0</v>
      </c>
      <c r="J10" s="39">
        <f t="shared" ref="J10:J11" si="1">D10*H10</f>
        <v>7916.666667</v>
      </c>
    </row>
    <row r="11">
      <c r="A11" s="75">
        <v>2.0</v>
      </c>
      <c r="B11" s="76" t="s">
        <v>485</v>
      </c>
      <c r="C11" s="75" t="s">
        <v>466</v>
      </c>
      <c r="D11" s="77">
        <f>1/20</f>
        <v>0.05</v>
      </c>
      <c r="E11" s="75" t="s">
        <v>148</v>
      </c>
      <c r="F11" s="78" t="s">
        <v>471</v>
      </c>
      <c r="G11" s="75" t="s">
        <v>484</v>
      </c>
      <c r="H11" s="79">
        <v>47500.0</v>
      </c>
      <c r="I11" s="81">
        <v>42000.0</v>
      </c>
      <c r="J11" s="39">
        <f t="shared" si="1"/>
        <v>2375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487</v>
      </c>
      <c r="D19" s="94">
        <v>1.0</v>
      </c>
      <c r="E19" s="75" t="s">
        <v>47</v>
      </c>
      <c r="F19" s="75"/>
      <c r="G19" s="75" t="s">
        <v>68</v>
      </c>
      <c r="H19" s="75">
        <v>2500.0</v>
      </c>
      <c r="I19" s="80"/>
      <c r="J19" s="89">
        <f t="shared" si="2"/>
        <v>2500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0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89">
        <v>2000.0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482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130" t="s">
        <v>178</v>
      </c>
      <c r="C3" s="90">
        <f>SUM(J10:J11)</f>
        <v>12231.25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3517.366667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21498.61667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483</v>
      </c>
      <c r="C10" s="75" t="s">
        <v>466</v>
      </c>
      <c r="D10" s="77">
        <f>1/5</f>
        <v>0.2</v>
      </c>
      <c r="E10" s="75" t="s">
        <v>148</v>
      </c>
      <c r="F10" s="78" t="s">
        <v>470</v>
      </c>
      <c r="G10" s="75" t="s">
        <v>484</v>
      </c>
      <c r="H10" s="79">
        <v>47500.0</v>
      </c>
      <c r="I10" s="81">
        <v>42000.0</v>
      </c>
      <c r="J10" s="39">
        <f t="shared" ref="J10:J11" si="1">D10*H10</f>
        <v>9500</v>
      </c>
    </row>
    <row r="11">
      <c r="A11" s="75">
        <v>2.0</v>
      </c>
      <c r="B11" s="76" t="s">
        <v>485</v>
      </c>
      <c r="C11" s="75" t="s">
        <v>466</v>
      </c>
      <c r="D11" s="77">
        <f>1.15/20</f>
        <v>0.0575</v>
      </c>
      <c r="E11" s="75" t="s">
        <v>148</v>
      </c>
      <c r="F11" s="78" t="s">
        <v>472</v>
      </c>
      <c r="G11" s="75" t="s">
        <v>484</v>
      </c>
      <c r="H11" s="79">
        <v>47500.0</v>
      </c>
      <c r="I11" s="81">
        <v>42000.0</v>
      </c>
      <c r="J11" s="39">
        <f t="shared" si="1"/>
        <v>2731.25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487</v>
      </c>
      <c r="D19" s="94">
        <v>1.0</v>
      </c>
      <c r="E19" s="75" t="s">
        <v>47</v>
      </c>
      <c r="F19" s="75"/>
      <c r="G19" s="75" t="s">
        <v>68</v>
      </c>
      <c r="H19" s="75">
        <v>2500.0</v>
      </c>
      <c r="I19" s="80"/>
      <c r="J19" s="89">
        <f t="shared" si="2"/>
        <v>2500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0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/>
      <c r="F31" s="89"/>
      <c r="G31" s="75" t="s">
        <v>68</v>
      </c>
      <c r="H31" s="81">
        <v>1500.0</v>
      </c>
      <c r="I31" s="88"/>
      <c r="J31" s="89">
        <v>2000.0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482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130" t="s">
        <v>178</v>
      </c>
      <c r="C3" s="90">
        <f>SUM(J10:J11)</f>
        <v>14962.5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3517.366667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24229.86667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483</v>
      </c>
      <c r="C10" s="75" t="s">
        <v>466</v>
      </c>
      <c r="D10" s="77">
        <f>1/4</f>
        <v>0.25</v>
      </c>
      <c r="E10" s="75" t="s">
        <v>148</v>
      </c>
      <c r="F10" s="78" t="s">
        <v>475</v>
      </c>
      <c r="G10" s="75" t="s">
        <v>484</v>
      </c>
      <c r="H10" s="79">
        <v>47500.0</v>
      </c>
      <c r="I10" s="81">
        <v>42000.0</v>
      </c>
      <c r="J10" s="39">
        <f t="shared" ref="J10:J11" si="1">D10*H10</f>
        <v>11875</v>
      </c>
    </row>
    <row r="11">
      <c r="A11" s="75">
        <v>2.0</v>
      </c>
      <c r="B11" s="76" t="s">
        <v>485</v>
      </c>
      <c r="C11" s="75" t="s">
        <v>466</v>
      </c>
      <c r="D11" s="77">
        <f>1.3/20</f>
        <v>0.065</v>
      </c>
      <c r="E11" s="75" t="s">
        <v>148</v>
      </c>
      <c r="F11" s="78" t="s">
        <v>477</v>
      </c>
      <c r="G11" s="75" t="s">
        <v>484</v>
      </c>
      <c r="H11" s="79">
        <v>47500.0</v>
      </c>
      <c r="I11" s="81">
        <v>42000.0</v>
      </c>
      <c r="J11" s="39">
        <f t="shared" si="1"/>
        <v>3087.5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487</v>
      </c>
      <c r="D19" s="94">
        <v>1.0</v>
      </c>
      <c r="E19" s="75" t="s">
        <v>47</v>
      </c>
      <c r="F19" s="75"/>
      <c r="G19" s="75" t="s">
        <v>68</v>
      </c>
      <c r="H19" s="75">
        <v>2500.0</v>
      </c>
      <c r="I19" s="80"/>
      <c r="J19" s="89">
        <f t="shared" si="2"/>
        <v>2500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0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89">
        <v>2000.0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486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130" t="s">
        <v>178</v>
      </c>
      <c r="C3" s="90">
        <f>SUM(J10:J11)</f>
        <v>10833.33333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18600.7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488</v>
      </c>
      <c r="C10" s="75" t="s">
        <v>466</v>
      </c>
      <c r="D10" s="77">
        <f>1/6</f>
        <v>0.1666666667</v>
      </c>
      <c r="E10" s="75" t="s">
        <v>148</v>
      </c>
      <c r="F10" s="78" t="s">
        <v>467</v>
      </c>
      <c r="G10" s="75" t="s">
        <v>484</v>
      </c>
      <c r="H10" s="79">
        <v>50000.0</v>
      </c>
      <c r="I10" s="81">
        <v>45000.0</v>
      </c>
      <c r="J10" s="39">
        <f t="shared" ref="J10:J11" si="1">D10*H10</f>
        <v>8333.333333</v>
      </c>
    </row>
    <row r="11">
      <c r="A11" s="75">
        <v>2.0</v>
      </c>
      <c r="B11" s="76" t="s">
        <v>488</v>
      </c>
      <c r="C11" s="75" t="s">
        <v>466</v>
      </c>
      <c r="D11" s="77">
        <f>1/20</f>
        <v>0.05</v>
      </c>
      <c r="E11" s="75" t="s">
        <v>148</v>
      </c>
      <c r="F11" s="78" t="s">
        <v>471</v>
      </c>
      <c r="G11" s="75" t="s">
        <v>484</v>
      </c>
      <c r="H11" s="79">
        <v>50000.0</v>
      </c>
      <c r="I11" s="81">
        <v>45000.0</v>
      </c>
      <c r="J11" s="39">
        <f t="shared" si="1"/>
        <v>2500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95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0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19">
        <v>4.0</v>
      </c>
      <c r="B31" s="19" t="s">
        <v>476</v>
      </c>
      <c r="C31" s="33"/>
      <c r="D31" s="34">
        <v>1.0</v>
      </c>
      <c r="E31" s="102" t="s">
        <v>47</v>
      </c>
      <c r="F31" s="35"/>
      <c r="G31" s="19" t="s">
        <v>68</v>
      </c>
      <c r="H31" s="22">
        <v>1500.0</v>
      </c>
      <c r="I31" s="33"/>
      <c r="J31" s="110">
        <v>2000.0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489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12875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3517.366667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22142.36667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488</v>
      </c>
      <c r="C10" s="75" t="s">
        <v>466</v>
      </c>
      <c r="D10" s="77">
        <f>1/5</f>
        <v>0.2</v>
      </c>
      <c r="E10" s="75" t="s">
        <v>148</v>
      </c>
      <c r="F10" s="78" t="s">
        <v>470</v>
      </c>
      <c r="G10" s="75" t="s">
        <v>484</v>
      </c>
      <c r="H10" s="79">
        <v>50000.0</v>
      </c>
      <c r="I10" s="81">
        <v>45000.0</v>
      </c>
      <c r="J10" s="39">
        <f t="shared" ref="J10:J11" si="1">D10*H10</f>
        <v>10000</v>
      </c>
    </row>
    <row r="11">
      <c r="A11" s="75">
        <v>2.0</v>
      </c>
      <c r="B11" s="76" t="s">
        <v>488</v>
      </c>
      <c r="C11" s="75" t="s">
        <v>466</v>
      </c>
      <c r="D11" s="77">
        <f>1.15/20</f>
        <v>0.0575</v>
      </c>
      <c r="E11" s="75" t="s">
        <v>148</v>
      </c>
      <c r="F11" s="78" t="s">
        <v>472</v>
      </c>
      <c r="G11" s="75" t="s">
        <v>484</v>
      </c>
      <c r="H11" s="79">
        <v>50000.0</v>
      </c>
      <c r="I11" s="81">
        <v>45000.0</v>
      </c>
      <c r="J11" s="39">
        <f t="shared" si="1"/>
        <v>2875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487</v>
      </c>
      <c r="D19" s="94">
        <v>1.0</v>
      </c>
      <c r="E19" s="75" t="s">
        <v>47</v>
      </c>
      <c r="F19" s="75"/>
      <c r="G19" s="75" t="s">
        <v>68</v>
      </c>
      <c r="H19" s="75">
        <v>2500.0</v>
      </c>
      <c r="I19" s="80"/>
      <c r="J19" s="89">
        <f t="shared" si="2"/>
        <v>2500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95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1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19">
        <v>4.0</v>
      </c>
      <c r="B31" s="19" t="s">
        <v>476</v>
      </c>
      <c r="C31" s="33"/>
      <c r="D31" s="34">
        <v>1.0</v>
      </c>
      <c r="E31" s="102" t="s">
        <v>47</v>
      </c>
      <c r="F31" s="35"/>
      <c r="G31" s="19" t="s">
        <v>68</v>
      </c>
      <c r="H31" s="109">
        <v>2000.0</v>
      </c>
      <c r="I31" s="33"/>
      <c r="J31" s="39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489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11583.33333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3517.366667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20850.7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488</v>
      </c>
      <c r="C10" s="75" t="s">
        <v>466</v>
      </c>
      <c r="D10" s="77">
        <f>1/6</f>
        <v>0.1666666667</v>
      </c>
      <c r="E10" s="75" t="s">
        <v>148</v>
      </c>
      <c r="F10" s="78" t="s">
        <v>475</v>
      </c>
      <c r="G10" s="75" t="s">
        <v>484</v>
      </c>
      <c r="H10" s="79">
        <v>50000.0</v>
      </c>
      <c r="I10" s="81">
        <v>45000.0</v>
      </c>
      <c r="J10" s="39">
        <f t="shared" ref="J10:J11" si="1">D10*H10</f>
        <v>8333.333333</v>
      </c>
    </row>
    <row r="11">
      <c r="A11" s="75">
        <v>2.0</v>
      </c>
      <c r="B11" s="76" t="s">
        <v>488</v>
      </c>
      <c r="C11" s="75" t="s">
        <v>466</v>
      </c>
      <c r="D11" s="77">
        <f>1.3/20</f>
        <v>0.065</v>
      </c>
      <c r="E11" s="75" t="s">
        <v>148</v>
      </c>
      <c r="F11" s="78" t="s">
        <v>477</v>
      </c>
      <c r="G11" s="75" t="s">
        <v>484</v>
      </c>
      <c r="H11" s="79">
        <v>50000.0</v>
      </c>
      <c r="I11" s="81">
        <v>45000.0</v>
      </c>
      <c r="J11" s="39">
        <f t="shared" si="1"/>
        <v>3250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487</v>
      </c>
      <c r="D19" s="94">
        <v>1.0</v>
      </c>
      <c r="E19" s="75" t="s">
        <v>47</v>
      </c>
      <c r="F19" s="75"/>
      <c r="G19" s="75" t="s">
        <v>68</v>
      </c>
      <c r="H19" s="75">
        <v>2500.0</v>
      </c>
      <c r="I19" s="80"/>
      <c r="J19" s="89">
        <f t="shared" si="2"/>
        <v>2500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95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1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19">
        <v>4.0</v>
      </c>
      <c r="B31" s="19" t="s">
        <v>476</v>
      </c>
      <c r="C31" s="33"/>
      <c r="D31" s="34">
        <v>1.0</v>
      </c>
      <c r="E31" s="20"/>
      <c r="F31" s="35"/>
      <c r="G31" s="19" t="s">
        <v>68</v>
      </c>
      <c r="H31" s="109">
        <v>2000.0</v>
      </c>
      <c r="I31" s="33"/>
      <c r="J31" s="39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490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14083.33333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7354.866667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26188.2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492</v>
      </c>
      <c r="C10" s="75" t="s">
        <v>466</v>
      </c>
      <c r="D10" s="77">
        <f>1/6</f>
        <v>0.1666666667</v>
      </c>
      <c r="E10" s="75" t="s">
        <v>148</v>
      </c>
      <c r="F10" s="78" t="s">
        <v>467</v>
      </c>
      <c r="G10" s="75" t="s">
        <v>391</v>
      </c>
      <c r="H10" s="79">
        <v>65000.0</v>
      </c>
      <c r="I10" s="81">
        <v>55000.0</v>
      </c>
      <c r="J10" s="39">
        <f t="shared" ref="J10:J11" si="1">D10*H10</f>
        <v>10833.33333</v>
      </c>
    </row>
    <row r="11">
      <c r="A11" s="75">
        <v>2.0</v>
      </c>
      <c r="B11" s="76" t="s">
        <v>493</v>
      </c>
      <c r="C11" s="75" t="s">
        <v>466</v>
      </c>
      <c r="D11" s="77">
        <f>1/20</f>
        <v>0.05</v>
      </c>
      <c r="E11" s="75" t="s">
        <v>148</v>
      </c>
      <c r="F11" s="78" t="s">
        <v>471</v>
      </c>
      <c r="G11" s="75" t="s">
        <v>391</v>
      </c>
      <c r="H11" s="79">
        <v>65000.0</v>
      </c>
      <c r="I11" s="81">
        <v>55000.0</v>
      </c>
      <c r="J11" s="39">
        <f t="shared" si="1"/>
        <v>3250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494</v>
      </c>
      <c r="C19" s="75" t="s">
        <v>58</v>
      </c>
      <c r="D19" s="94">
        <f>D10+D11</f>
        <v>0.2166666667</v>
      </c>
      <c r="E19" s="75" t="s">
        <v>47</v>
      </c>
      <c r="F19" s="75"/>
      <c r="G19" s="75" t="s">
        <v>68</v>
      </c>
      <c r="H19" s="75">
        <f>19500*1.5</f>
        <v>29250</v>
      </c>
      <c r="I19" s="80"/>
      <c r="J19" s="89">
        <f t="shared" si="2"/>
        <v>6337.5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95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3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19"/>
      <c r="B31" s="19"/>
      <c r="C31" s="33"/>
      <c r="D31" s="34"/>
      <c r="E31" s="20"/>
      <c r="F31" s="35"/>
      <c r="G31" s="19"/>
      <c r="H31" s="22"/>
      <c r="I31" s="33"/>
      <c r="J31" s="110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491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16737.5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8549.241667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30036.74167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492</v>
      </c>
      <c r="C10" s="75" t="s">
        <v>466</v>
      </c>
      <c r="D10" s="77">
        <f>1/5</f>
        <v>0.2</v>
      </c>
      <c r="E10" s="75" t="s">
        <v>148</v>
      </c>
      <c r="F10" s="78" t="s">
        <v>470</v>
      </c>
      <c r="G10" s="75" t="s">
        <v>391</v>
      </c>
      <c r="H10" s="79">
        <v>65000.0</v>
      </c>
      <c r="I10" s="81">
        <v>55000.0</v>
      </c>
      <c r="J10" s="39">
        <f t="shared" ref="J10:J11" si="1">D10*H10</f>
        <v>13000</v>
      </c>
    </row>
    <row r="11">
      <c r="A11" s="75">
        <v>2.0</v>
      </c>
      <c r="B11" s="76" t="s">
        <v>493</v>
      </c>
      <c r="C11" s="75" t="s">
        <v>466</v>
      </c>
      <c r="D11" s="77">
        <f>1.15/20</f>
        <v>0.0575</v>
      </c>
      <c r="E11" s="75" t="s">
        <v>148</v>
      </c>
      <c r="F11" s="78" t="s">
        <v>472</v>
      </c>
      <c r="G11" s="75" t="s">
        <v>391</v>
      </c>
      <c r="H11" s="79">
        <v>65000.0</v>
      </c>
      <c r="I11" s="81">
        <v>55000.0</v>
      </c>
      <c r="J11" s="39">
        <f t="shared" si="1"/>
        <v>3737.5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494</v>
      </c>
      <c r="C19" s="75" t="s">
        <v>58</v>
      </c>
      <c r="D19" s="94">
        <f>D10+D11</f>
        <v>0.2575</v>
      </c>
      <c r="E19" s="75" t="s">
        <v>47</v>
      </c>
      <c r="F19" s="75"/>
      <c r="G19" s="75" t="s">
        <v>68</v>
      </c>
      <c r="H19" s="75">
        <f>19500*1.5</f>
        <v>29250</v>
      </c>
      <c r="I19" s="80"/>
      <c r="J19" s="89">
        <f t="shared" si="2"/>
        <v>7531.875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95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3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19"/>
      <c r="B31" s="19"/>
      <c r="C31" s="33"/>
      <c r="D31" s="34"/>
      <c r="E31" s="20"/>
      <c r="F31" s="35"/>
      <c r="G31" s="19"/>
      <c r="H31" s="22"/>
      <c r="I31" s="33"/>
      <c r="J31" s="110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491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15058.33333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7793.616667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27601.95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492</v>
      </c>
      <c r="C10" s="75" t="s">
        <v>466</v>
      </c>
      <c r="D10" s="77">
        <f>1/6</f>
        <v>0.1666666667</v>
      </c>
      <c r="E10" s="75" t="s">
        <v>148</v>
      </c>
      <c r="F10" s="78" t="s">
        <v>475</v>
      </c>
      <c r="G10" s="75" t="s">
        <v>391</v>
      </c>
      <c r="H10" s="79">
        <v>65000.0</v>
      </c>
      <c r="I10" s="81">
        <v>55000.0</v>
      </c>
      <c r="J10" s="39">
        <f t="shared" ref="J10:J11" si="1">D10*H10</f>
        <v>10833.33333</v>
      </c>
    </row>
    <row r="11">
      <c r="A11" s="75">
        <v>2.0</v>
      </c>
      <c r="B11" s="76" t="s">
        <v>493</v>
      </c>
      <c r="C11" s="75" t="s">
        <v>466</v>
      </c>
      <c r="D11" s="77">
        <f>1.3/20</f>
        <v>0.065</v>
      </c>
      <c r="E11" s="75" t="s">
        <v>148</v>
      </c>
      <c r="F11" s="78" t="s">
        <v>477</v>
      </c>
      <c r="G11" s="75" t="s">
        <v>391</v>
      </c>
      <c r="H11" s="79">
        <v>65000.0</v>
      </c>
      <c r="I11" s="81">
        <v>55000.0</v>
      </c>
      <c r="J11" s="39">
        <f t="shared" si="1"/>
        <v>4225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494</v>
      </c>
      <c r="C19" s="75" t="s">
        <v>58</v>
      </c>
      <c r="D19" s="94">
        <f>D10+D11</f>
        <v>0.2316666667</v>
      </c>
      <c r="E19" s="75" t="s">
        <v>47</v>
      </c>
      <c r="F19" s="75"/>
      <c r="G19" s="75" t="s">
        <v>68</v>
      </c>
      <c r="H19" s="75">
        <f>19500*1.5</f>
        <v>29250</v>
      </c>
      <c r="I19" s="80"/>
      <c r="J19" s="89">
        <f t="shared" si="2"/>
        <v>6776.25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95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3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19"/>
      <c r="B31" s="19"/>
      <c r="C31" s="33"/>
      <c r="D31" s="34"/>
      <c r="E31" s="20"/>
      <c r="F31" s="35"/>
      <c r="G31" s="19"/>
      <c r="H31" s="22"/>
      <c r="I31" s="33"/>
      <c r="J31" s="110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495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9750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7354.866667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21854.86667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498</v>
      </c>
      <c r="C10" s="75" t="s">
        <v>466</v>
      </c>
      <c r="D10" s="77">
        <f>1/6</f>
        <v>0.1666666667</v>
      </c>
      <c r="E10" s="75" t="s">
        <v>148</v>
      </c>
      <c r="F10" s="78" t="s">
        <v>467</v>
      </c>
      <c r="G10" s="75" t="s">
        <v>391</v>
      </c>
      <c r="H10" s="79">
        <v>45000.0</v>
      </c>
      <c r="I10" s="81">
        <v>55000.0</v>
      </c>
      <c r="J10" s="39">
        <f t="shared" ref="J10:J11" si="1">D10*H10</f>
        <v>7500</v>
      </c>
    </row>
    <row r="11">
      <c r="A11" s="75">
        <v>2.0</v>
      </c>
      <c r="B11" s="76" t="s">
        <v>499</v>
      </c>
      <c r="C11" s="75" t="s">
        <v>466</v>
      </c>
      <c r="D11" s="77">
        <f>1/20</f>
        <v>0.05</v>
      </c>
      <c r="E11" s="75" t="s">
        <v>148</v>
      </c>
      <c r="F11" s="78" t="s">
        <v>471</v>
      </c>
      <c r="G11" s="75" t="s">
        <v>391</v>
      </c>
      <c r="H11" s="79">
        <v>45000.0</v>
      </c>
      <c r="I11" s="81">
        <v>55000.0</v>
      </c>
      <c r="J11" s="39">
        <f t="shared" si="1"/>
        <v>2250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494</v>
      </c>
      <c r="C19" s="75" t="s">
        <v>58</v>
      </c>
      <c r="D19" s="94">
        <f>D10+D11</f>
        <v>0.2166666667</v>
      </c>
      <c r="E19" s="75" t="s">
        <v>47</v>
      </c>
      <c r="F19" s="75"/>
      <c r="G19" s="75" t="s">
        <v>68</v>
      </c>
      <c r="H19" s="75">
        <f>19500*1.5</f>
        <v>29250</v>
      </c>
      <c r="I19" s="80"/>
      <c r="J19" s="89">
        <f t="shared" si="2"/>
        <v>6337.5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95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1" si="3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19"/>
      <c r="B31" s="19"/>
      <c r="C31" s="33"/>
      <c r="D31" s="34"/>
      <c r="E31" s="20"/>
      <c r="F31" s="35"/>
      <c r="G31" s="19"/>
      <c r="H31" s="22"/>
      <c r="I31" s="33"/>
      <c r="J31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496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11587.5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8549.241667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24886.74167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498</v>
      </c>
      <c r="C10" s="75" t="s">
        <v>466</v>
      </c>
      <c r="D10" s="77">
        <f>1/5</f>
        <v>0.2</v>
      </c>
      <c r="E10" s="75" t="s">
        <v>148</v>
      </c>
      <c r="F10" s="78" t="s">
        <v>470</v>
      </c>
      <c r="G10" s="75" t="s">
        <v>391</v>
      </c>
      <c r="H10" s="79">
        <v>45000.0</v>
      </c>
      <c r="I10" s="81">
        <v>40000.0</v>
      </c>
      <c r="J10" s="39">
        <f t="shared" ref="J10:J11" si="1">D10*H10</f>
        <v>9000</v>
      </c>
    </row>
    <row r="11">
      <c r="A11" s="75">
        <v>2.0</v>
      </c>
      <c r="B11" s="76" t="s">
        <v>499</v>
      </c>
      <c r="C11" s="75" t="s">
        <v>466</v>
      </c>
      <c r="D11" s="77">
        <f>1.15/20</f>
        <v>0.0575</v>
      </c>
      <c r="E11" s="75" t="s">
        <v>148</v>
      </c>
      <c r="F11" s="78" t="s">
        <v>472</v>
      </c>
      <c r="G11" s="75" t="s">
        <v>391</v>
      </c>
      <c r="H11" s="79">
        <v>45000.0</v>
      </c>
      <c r="I11" s="81">
        <v>40000.0</v>
      </c>
      <c r="J11" s="39">
        <f t="shared" si="1"/>
        <v>2587.5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494</v>
      </c>
      <c r="C19" s="75" t="s">
        <v>58</v>
      </c>
      <c r="D19" s="94">
        <f>D10+D11</f>
        <v>0.2575</v>
      </c>
      <c r="E19" s="75" t="s">
        <v>47</v>
      </c>
      <c r="F19" s="75"/>
      <c r="G19" s="75" t="s">
        <v>68</v>
      </c>
      <c r="H19" s="75">
        <f>19500*1.5</f>
        <v>29250</v>
      </c>
      <c r="I19" s="80"/>
      <c r="J19" s="89">
        <f t="shared" si="2"/>
        <v>7531.875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95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1" si="3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19"/>
      <c r="B31" s="19"/>
      <c r="C31" s="33"/>
      <c r="D31" s="34"/>
      <c r="E31" s="20"/>
      <c r="F31" s="35"/>
      <c r="G31" s="19"/>
      <c r="H31" s="22"/>
      <c r="I31" s="33"/>
      <c r="J31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497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10425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7793.616667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22968.61667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498</v>
      </c>
      <c r="C10" s="75" t="s">
        <v>466</v>
      </c>
      <c r="D10" s="77">
        <f>1/6</f>
        <v>0.1666666667</v>
      </c>
      <c r="E10" s="75" t="s">
        <v>148</v>
      </c>
      <c r="F10" s="78" t="s">
        <v>475</v>
      </c>
      <c r="G10" s="75" t="s">
        <v>391</v>
      </c>
      <c r="H10" s="79">
        <v>45000.0</v>
      </c>
      <c r="I10" s="81">
        <v>55000.0</v>
      </c>
      <c r="J10" s="39">
        <f t="shared" ref="J10:J11" si="1">D10*H10</f>
        <v>7500</v>
      </c>
    </row>
    <row r="11">
      <c r="A11" s="75">
        <v>2.0</v>
      </c>
      <c r="B11" s="76" t="s">
        <v>499</v>
      </c>
      <c r="C11" s="75" t="s">
        <v>466</v>
      </c>
      <c r="D11" s="77">
        <f>1.3/20</f>
        <v>0.065</v>
      </c>
      <c r="E11" s="75" t="s">
        <v>148</v>
      </c>
      <c r="F11" s="78" t="s">
        <v>477</v>
      </c>
      <c r="G11" s="75" t="s">
        <v>391</v>
      </c>
      <c r="H11" s="79">
        <v>45000.0</v>
      </c>
      <c r="I11" s="81">
        <v>55000.0</v>
      </c>
      <c r="J11" s="39">
        <f t="shared" si="1"/>
        <v>2925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494</v>
      </c>
      <c r="C19" s="75"/>
      <c r="D19" s="94">
        <f>D10+D11</f>
        <v>0.2316666667</v>
      </c>
      <c r="E19" s="75" t="s">
        <v>47</v>
      </c>
      <c r="F19" s="75"/>
      <c r="G19" s="75" t="s">
        <v>68</v>
      </c>
      <c r="H19" s="75">
        <f>19500*1.5</f>
        <v>29250</v>
      </c>
      <c r="I19" s="80"/>
      <c r="J19" s="89">
        <f t="shared" si="2"/>
        <v>6776.25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95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1" si="3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19"/>
      <c r="B31" s="19"/>
      <c r="C31" s="33"/>
      <c r="D31" s="34"/>
      <c r="E31" s="20"/>
      <c r="F31" s="35"/>
      <c r="G31" s="19"/>
      <c r="H31" s="22"/>
      <c r="I31" s="33"/>
      <c r="J31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500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4680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11947.36667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502</v>
      </c>
      <c r="C10" s="75" t="s">
        <v>466</v>
      </c>
      <c r="D10" s="77">
        <f>1/6</f>
        <v>0.1666666667</v>
      </c>
      <c r="E10" s="75" t="s">
        <v>148</v>
      </c>
      <c r="F10" s="78" t="s">
        <v>467</v>
      </c>
      <c r="G10" s="75" t="s">
        <v>504</v>
      </c>
      <c r="H10" s="79">
        <f t="shared" ref="H10:H11" si="1">20000*1.08</f>
        <v>21600</v>
      </c>
      <c r="I10" s="81">
        <v>0.0</v>
      </c>
      <c r="J10" s="39">
        <f t="shared" ref="J10:J11" si="2">D10*H10</f>
        <v>3600</v>
      </c>
    </row>
    <row r="11">
      <c r="A11" s="75">
        <v>2.0</v>
      </c>
      <c r="B11" s="76" t="s">
        <v>506</v>
      </c>
      <c r="C11" s="75" t="s">
        <v>466</v>
      </c>
      <c r="D11" s="77">
        <f>1/20</f>
        <v>0.05</v>
      </c>
      <c r="E11" s="75" t="s">
        <v>148</v>
      </c>
      <c r="F11" s="78" t="s">
        <v>471</v>
      </c>
      <c r="G11" s="75" t="s">
        <v>504</v>
      </c>
      <c r="H11" s="79">
        <f t="shared" si="1"/>
        <v>21600</v>
      </c>
      <c r="I11" s="81"/>
      <c r="J11" s="39">
        <f t="shared" si="2"/>
        <v>1080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3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3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3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3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3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3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3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3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3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3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0" si="4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4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4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89">
        <v>1500.0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501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5562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12829.36667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502</v>
      </c>
      <c r="C10" s="75" t="s">
        <v>466</v>
      </c>
      <c r="D10" s="77">
        <f>1/5</f>
        <v>0.2</v>
      </c>
      <c r="E10" s="75" t="s">
        <v>148</v>
      </c>
      <c r="F10" s="78" t="s">
        <v>470</v>
      </c>
      <c r="G10" s="75" t="s">
        <v>504</v>
      </c>
      <c r="H10" s="79">
        <f t="shared" ref="H10:H11" si="1">20000*1.08</f>
        <v>21600</v>
      </c>
      <c r="I10" s="81">
        <v>0.0</v>
      </c>
      <c r="J10" s="39">
        <f t="shared" ref="J10:J11" si="2">D10*H10</f>
        <v>4320</v>
      </c>
    </row>
    <row r="11">
      <c r="A11" s="75">
        <v>2.0</v>
      </c>
      <c r="B11" s="76" t="s">
        <v>506</v>
      </c>
      <c r="C11" s="75" t="s">
        <v>466</v>
      </c>
      <c r="D11" s="77">
        <f>1.15/20</f>
        <v>0.0575</v>
      </c>
      <c r="E11" s="75" t="s">
        <v>148</v>
      </c>
      <c r="F11" s="78" t="s">
        <v>472</v>
      </c>
      <c r="G11" s="75" t="s">
        <v>504</v>
      </c>
      <c r="H11" s="79">
        <f t="shared" si="1"/>
        <v>21600</v>
      </c>
      <c r="I11" s="81"/>
      <c r="J11" s="39">
        <f t="shared" si="2"/>
        <v>1242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3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3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3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3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3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3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3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3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3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3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1" si="4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4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4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4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503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6804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14071.36667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502</v>
      </c>
      <c r="C10" s="75" t="s">
        <v>466</v>
      </c>
      <c r="D10" s="77">
        <f>1/4</f>
        <v>0.25</v>
      </c>
      <c r="E10" s="75" t="s">
        <v>148</v>
      </c>
      <c r="F10" s="78" t="s">
        <v>475</v>
      </c>
      <c r="G10" s="75" t="s">
        <v>504</v>
      </c>
      <c r="H10" s="79">
        <f t="shared" ref="H10:H11" si="1">20000*1.08</f>
        <v>21600</v>
      </c>
      <c r="I10" s="81">
        <v>0.0</v>
      </c>
      <c r="J10" s="39">
        <f t="shared" ref="J10:J11" si="2">D10*H10</f>
        <v>5400</v>
      </c>
    </row>
    <row r="11">
      <c r="A11" s="75">
        <v>2.0</v>
      </c>
      <c r="B11" s="76" t="s">
        <v>502</v>
      </c>
      <c r="C11" s="75" t="s">
        <v>466</v>
      </c>
      <c r="D11" s="77">
        <f>1.3/20</f>
        <v>0.065</v>
      </c>
      <c r="E11" s="75" t="s">
        <v>148</v>
      </c>
      <c r="F11" s="78" t="s">
        <v>477</v>
      </c>
      <c r="G11" s="75" t="s">
        <v>504</v>
      </c>
      <c r="H11" s="79">
        <f t="shared" si="1"/>
        <v>21600</v>
      </c>
      <c r="I11" s="81"/>
      <c r="J11" s="39">
        <f t="shared" si="2"/>
        <v>1404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3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3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3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3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3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3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3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3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3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3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1" si="4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4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4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4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505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3978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11245.36667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507</v>
      </c>
      <c r="C10" s="75" t="s">
        <v>466</v>
      </c>
      <c r="D10" s="77">
        <f>1/6</f>
        <v>0.1666666667</v>
      </c>
      <c r="E10" s="75" t="s">
        <v>148</v>
      </c>
      <c r="F10" s="78" t="s">
        <v>467</v>
      </c>
      <c r="G10" s="75" t="s">
        <v>504</v>
      </c>
      <c r="H10" s="79">
        <f t="shared" ref="H10:H11" si="1">17000*1.08</f>
        <v>18360</v>
      </c>
      <c r="I10" s="81">
        <v>0.0</v>
      </c>
      <c r="J10" s="39">
        <f t="shared" ref="J10:J11" si="2">D10*H10</f>
        <v>3060</v>
      </c>
    </row>
    <row r="11">
      <c r="A11" s="75">
        <v>2.0</v>
      </c>
      <c r="B11" s="76" t="s">
        <v>508</v>
      </c>
      <c r="C11" s="75" t="s">
        <v>466</v>
      </c>
      <c r="D11" s="77">
        <f>1/20</f>
        <v>0.05</v>
      </c>
      <c r="E11" s="75" t="s">
        <v>148</v>
      </c>
      <c r="F11" s="78" t="s">
        <v>471</v>
      </c>
      <c r="G11" s="75" t="s">
        <v>504</v>
      </c>
      <c r="H11" s="79">
        <f t="shared" si="1"/>
        <v>18360</v>
      </c>
      <c r="I11" s="81"/>
      <c r="J11" s="39">
        <f t="shared" si="2"/>
        <v>918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3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3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3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3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3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3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3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3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3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3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0" si="4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4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4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89">
        <v>1500.0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509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5562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12829.36667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507</v>
      </c>
      <c r="C10" s="75" t="s">
        <v>466</v>
      </c>
      <c r="D10" s="77">
        <f>1/5</f>
        <v>0.2</v>
      </c>
      <c r="E10" s="75" t="s">
        <v>148</v>
      </c>
      <c r="F10" s="78" t="s">
        <v>470</v>
      </c>
      <c r="G10" s="75" t="s">
        <v>504</v>
      </c>
      <c r="H10" s="79">
        <f t="shared" ref="H10:H11" si="1">20000*1.08</f>
        <v>21600</v>
      </c>
      <c r="I10" s="81">
        <v>0.0</v>
      </c>
      <c r="J10" s="39">
        <f t="shared" ref="J10:J11" si="2">D10*H10</f>
        <v>4320</v>
      </c>
    </row>
    <row r="11">
      <c r="A11" s="75">
        <v>2.0</v>
      </c>
      <c r="B11" s="76" t="s">
        <v>508</v>
      </c>
      <c r="C11" s="75" t="s">
        <v>466</v>
      </c>
      <c r="D11" s="77">
        <f>1.15/20</f>
        <v>0.0575</v>
      </c>
      <c r="E11" s="75" t="s">
        <v>148</v>
      </c>
      <c r="F11" s="78" t="s">
        <v>472</v>
      </c>
      <c r="G11" s="75" t="s">
        <v>504</v>
      </c>
      <c r="H11" s="79">
        <f t="shared" si="1"/>
        <v>21600</v>
      </c>
      <c r="I11" s="81"/>
      <c r="J11" s="39">
        <f t="shared" si="2"/>
        <v>1242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3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3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3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3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3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3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3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3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3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3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1" si="4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4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4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4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510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6804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14071.36667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507</v>
      </c>
      <c r="C10" s="75" t="s">
        <v>466</v>
      </c>
      <c r="D10" s="77">
        <f>1/4</f>
        <v>0.25</v>
      </c>
      <c r="E10" s="75" t="s">
        <v>148</v>
      </c>
      <c r="F10" s="78" t="s">
        <v>475</v>
      </c>
      <c r="G10" s="75" t="s">
        <v>504</v>
      </c>
      <c r="H10" s="79">
        <f t="shared" ref="H10:H11" si="1">20000*1.08</f>
        <v>21600</v>
      </c>
      <c r="I10" s="81">
        <v>0.0</v>
      </c>
      <c r="J10" s="39">
        <f t="shared" ref="J10:J11" si="2">D10*H10</f>
        <v>5400</v>
      </c>
    </row>
    <row r="11">
      <c r="A11" s="75">
        <v>2.0</v>
      </c>
      <c r="B11" s="76" t="s">
        <v>507</v>
      </c>
      <c r="C11" s="75" t="s">
        <v>466</v>
      </c>
      <c r="D11" s="77">
        <f>1.3/20</f>
        <v>0.065</v>
      </c>
      <c r="E11" s="75" t="s">
        <v>148</v>
      </c>
      <c r="F11" s="78" t="s">
        <v>477</v>
      </c>
      <c r="G11" s="75" t="s">
        <v>504</v>
      </c>
      <c r="H11" s="79">
        <f t="shared" si="1"/>
        <v>21600</v>
      </c>
      <c r="I11" s="81"/>
      <c r="J11" s="39">
        <f t="shared" si="2"/>
        <v>1404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3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3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3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3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3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3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3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3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3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3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1" si="4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4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4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4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511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11375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18642.36667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513</v>
      </c>
      <c r="C10" s="75" t="s">
        <v>466</v>
      </c>
      <c r="D10" s="77">
        <f>1/6</f>
        <v>0.1666666667</v>
      </c>
      <c r="E10" s="75" t="s">
        <v>148</v>
      </c>
      <c r="F10" s="78" t="s">
        <v>467</v>
      </c>
      <c r="G10" s="75" t="s">
        <v>484</v>
      </c>
      <c r="H10" s="79">
        <v>52500.0</v>
      </c>
      <c r="I10" s="81">
        <v>0.0</v>
      </c>
      <c r="J10" s="39">
        <f t="shared" ref="J10:J11" si="1">D10*H10</f>
        <v>8750</v>
      </c>
    </row>
    <row r="11">
      <c r="A11" s="75">
        <v>2.0</v>
      </c>
      <c r="B11" s="76" t="s">
        <v>514</v>
      </c>
      <c r="C11" s="75" t="s">
        <v>466</v>
      </c>
      <c r="D11" s="77">
        <f>1/20</f>
        <v>0.05</v>
      </c>
      <c r="E11" s="75" t="s">
        <v>148</v>
      </c>
      <c r="F11" s="78" t="s">
        <v>471</v>
      </c>
      <c r="G11" s="75" t="s">
        <v>484</v>
      </c>
      <c r="H11" s="79">
        <v>52500.0</v>
      </c>
      <c r="I11" s="81"/>
      <c r="J11" s="39">
        <f t="shared" si="1"/>
        <v>2625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0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89">
        <v>1500.0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512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130" t="s">
        <v>178</v>
      </c>
      <c r="C3" s="90">
        <f>SUM(J10:J11)</f>
        <v>13518.75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20786.11667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513</v>
      </c>
      <c r="C10" s="75" t="s">
        <v>466</v>
      </c>
      <c r="D10" s="77">
        <f>1/5</f>
        <v>0.2</v>
      </c>
      <c r="E10" s="75" t="s">
        <v>148</v>
      </c>
      <c r="F10" s="78" t="s">
        <v>470</v>
      </c>
      <c r="G10" s="75" t="s">
        <v>484</v>
      </c>
      <c r="H10" s="79">
        <v>52500.0</v>
      </c>
      <c r="I10" s="81">
        <v>0.0</v>
      </c>
      <c r="J10" s="39">
        <f t="shared" ref="J10:J11" si="1">D10*H10</f>
        <v>10500</v>
      </c>
    </row>
    <row r="11">
      <c r="A11" s="75">
        <v>2.0</v>
      </c>
      <c r="B11" s="76" t="s">
        <v>514</v>
      </c>
      <c r="C11" s="75" t="s">
        <v>466</v>
      </c>
      <c r="D11" s="77">
        <f>1.15/20</f>
        <v>0.0575</v>
      </c>
      <c r="E11" s="75" t="s">
        <v>148</v>
      </c>
      <c r="F11" s="78" t="s">
        <v>472</v>
      </c>
      <c r="G11" s="75" t="s">
        <v>484</v>
      </c>
      <c r="H11" s="79">
        <v>52500.0</v>
      </c>
      <c r="I11" s="81"/>
      <c r="J11" s="39">
        <f t="shared" si="1"/>
        <v>3018.75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0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89">
        <v>1500.0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515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130" t="s">
        <v>178</v>
      </c>
      <c r="C3" s="90">
        <f>SUM(J10:J11)</f>
        <v>16537.5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23804.86667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513</v>
      </c>
      <c r="C10" s="75" t="s">
        <v>466</v>
      </c>
      <c r="D10" s="77">
        <f>1/4</f>
        <v>0.25</v>
      </c>
      <c r="E10" s="75" t="s">
        <v>148</v>
      </c>
      <c r="F10" s="78" t="s">
        <v>475</v>
      </c>
      <c r="G10" s="75" t="s">
        <v>484</v>
      </c>
      <c r="H10" s="79">
        <v>52500.0</v>
      </c>
      <c r="I10" s="81">
        <v>0.0</v>
      </c>
      <c r="J10" s="39">
        <f t="shared" ref="J10:J11" si="1">D10*H10</f>
        <v>13125</v>
      </c>
    </row>
    <row r="11">
      <c r="A11" s="75">
        <v>2.0</v>
      </c>
      <c r="B11" s="76" t="s">
        <v>514</v>
      </c>
      <c r="C11" s="75" t="s">
        <v>466</v>
      </c>
      <c r="D11" s="77">
        <f>1.3/20</f>
        <v>0.065</v>
      </c>
      <c r="E11" s="75" t="s">
        <v>148</v>
      </c>
      <c r="F11" s="78" t="s">
        <v>477</v>
      </c>
      <c r="G11" s="75" t="s">
        <v>484</v>
      </c>
      <c r="H11" s="79">
        <v>52500.0</v>
      </c>
      <c r="I11" s="81"/>
      <c r="J11" s="39">
        <f t="shared" si="1"/>
        <v>3412.5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0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89">
        <v>1500.0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8" t="s">
        <v>516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1625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8892.366667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517</v>
      </c>
      <c r="C10" s="75" t="s">
        <v>21</v>
      </c>
      <c r="D10" s="77">
        <f>1/6</f>
        <v>0.1666666667</v>
      </c>
      <c r="E10" s="75" t="s">
        <v>148</v>
      </c>
      <c r="F10" s="78" t="s">
        <v>467</v>
      </c>
      <c r="G10" s="75" t="s">
        <v>518</v>
      </c>
      <c r="H10" s="79">
        <v>7500.0</v>
      </c>
      <c r="I10" s="81">
        <v>5700.0</v>
      </c>
      <c r="J10" s="39">
        <f t="shared" ref="J10:J11" si="1">D10*H10</f>
        <v>1250</v>
      </c>
    </row>
    <row r="11">
      <c r="A11" s="75">
        <v>2.0</v>
      </c>
      <c r="B11" s="76" t="s">
        <v>519</v>
      </c>
      <c r="C11" s="75" t="s">
        <v>21</v>
      </c>
      <c r="D11" s="77">
        <f>1/20</f>
        <v>0.05</v>
      </c>
      <c r="E11" s="75" t="s">
        <v>148</v>
      </c>
      <c r="F11" s="78" t="s">
        <v>471</v>
      </c>
      <c r="G11" s="75" t="s">
        <v>518</v>
      </c>
      <c r="H11" s="79">
        <v>7500.0</v>
      </c>
      <c r="I11" s="81">
        <v>5700.0</v>
      </c>
      <c r="J11" s="39">
        <f t="shared" si="1"/>
        <v>375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0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89">
        <v>1500.0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520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1931.25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9198.616667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517</v>
      </c>
      <c r="C10" s="75" t="s">
        <v>21</v>
      </c>
      <c r="D10" s="77">
        <f>1/5</f>
        <v>0.2</v>
      </c>
      <c r="E10" s="75" t="s">
        <v>148</v>
      </c>
      <c r="F10" s="78" t="s">
        <v>470</v>
      </c>
      <c r="G10" s="75" t="s">
        <v>518</v>
      </c>
      <c r="H10" s="79">
        <v>7500.0</v>
      </c>
      <c r="I10" s="81">
        <v>5700.0</v>
      </c>
      <c r="J10" s="39">
        <f t="shared" ref="J10:J11" si="1">D10*H10</f>
        <v>1500</v>
      </c>
    </row>
    <row r="11">
      <c r="A11" s="75">
        <v>2.0</v>
      </c>
      <c r="B11" s="76" t="s">
        <v>519</v>
      </c>
      <c r="C11" s="75" t="s">
        <v>21</v>
      </c>
      <c r="D11" s="77">
        <f>1.15/20</f>
        <v>0.0575</v>
      </c>
      <c r="E11" s="75" t="s">
        <v>148</v>
      </c>
      <c r="F11" s="78" t="s">
        <v>472</v>
      </c>
      <c r="G11" s="75" t="s">
        <v>518</v>
      </c>
      <c r="H11" s="79">
        <v>7500.0</v>
      </c>
      <c r="I11" s="81">
        <v>5700.0</v>
      </c>
      <c r="J11" s="39">
        <f t="shared" si="1"/>
        <v>431.25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0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89">
        <v>1500.0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521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2362.5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9629.866667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517</v>
      </c>
      <c r="C10" s="75" t="s">
        <v>21</v>
      </c>
      <c r="D10" s="77">
        <f>1/4</f>
        <v>0.25</v>
      </c>
      <c r="E10" s="75" t="s">
        <v>148</v>
      </c>
      <c r="F10" s="78" t="s">
        <v>475</v>
      </c>
      <c r="G10" s="75" t="s">
        <v>518</v>
      </c>
      <c r="H10" s="79">
        <v>7500.0</v>
      </c>
      <c r="I10" s="81">
        <v>5700.0</v>
      </c>
      <c r="J10" s="39">
        <f t="shared" ref="J10:J11" si="1">D10*H10</f>
        <v>1875</v>
      </c>
    </row>
    <row r="11">
      <c r="A11" s="75">
        <v>2.0</v>
      </c>
      <c r="B11" s="76" t="s">
        <v>519</v>
      </c>
      <c r="C11" s="75" t="s">
        <v>21</v>
      </c>
      <c r="D11" s="77">
        <f>1.3/20</f>
        <v>0.065</v>
      </c>
      <c r="E11" s="75" t="s">
        <v>148</v>
      </c>
      <c r="F11" s="78" t="s">
        <v>477</v>
      </c>
      <c r="G11" s="75" t="s">
        <v>518</v>
      </c>
      <c r="H11" s="79">
        <v>7500.0</v>
      </c>
      <c r="I11" s="81">
        <v>5700.0</v>
      </c>
      <c r="J11" s="39">
        <f t="shared" si="1"/>
        <v>487.5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0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89">
        <v>1500.0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522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3365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0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3365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524</v>
      </c>
      <c r="C10" s="75" t="s">
        <v>466</v>
      </c>
      <c r="D10" s="77">
        <v>1.0</v>
      </c>
      <c r="E10" s="75" t="s">
        <v>525</v>
      </c>
      <c r="F10" s="78" t="s">
        <v>526</v>
      </c>
      <c r="G10" s="75" t="s">
        <v>527</v>
      </c>
      <c r="H10" s="79">
        <v>3365.0</v>
      </c>
      <c r="I10" s="81"/>
      <c r="J10" s="39">
        <f t="shared" ref="J10:J11" si="1">D10*H10</f>
        <v>3365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/>
      <c r="C14" s="75"/>
      <c r="D14" s="77"/>
      <c r="E14" s="75"/>
      <c r="F14" s="75"/>
      <c r="G14" s="75"/>
      <c r="H14" s="81"/>
      <c r="I14" s="80"/>
      <c r="J14" s="39">
        <f t="shared" ref="J14:J25" si="2">D14*H14</f>
        <v>0</v>
      </c>
    </row>
    <row r="15">
      <c r="A15" s="75">
        <v>2.0</v>
      </c>
      <c r="B15" s="76"/>
      <c r="C15" s="75"/>
      <c r="D15" s="77"/>
      <c r="E15" s="75"/>
      <c r="F15" s="75"/>
      <c r="G15" s="75"/>
      <c r="H15" s="81"/>
      <c r="I15" s="80"/>
      <c r="J15" s="39">
        <f t="shared" si="2"/>
        <v>0</v>
      </c>
    </row>
    <row r="16">
      <c r="A16" s="75">
        <v>3.0</v>
      </c>
      <c r="B16" s="76"/>
      <c r="C16" s="75"/>
      <c r="D16" s="77"/>
      <c r="E16" s="75"/>
      <c r="F16" s="75"/>
      <c r="G16" s="75"/>
      <c r="H16" s="81"/>
      <c r="I16" s="80"/>
      <c r="J16" s="39">
        <f t="shared" si="2"/>
        <v>0</v>
      </c>
    </row>
    <row r="17">
      <c r="A17" s="75">
        <v>4.0</v>
      </c>
      <c r="B17" s="76"/>
      <c r="C17" s="75"/>
      <c r="D17" s="77"/>
      <c r="E17" s="75"/>
      <c r="F17" s="75"/>
      <c r="G17" s="75"/>
      <c r="H17" s="81"/>
      <c r="I17" s="80"/>
      <c r="J17" s="39">
        <f t="shared" si="2"/>
        <v>0</v>
      </c>
    </row>
    <row r="18">
      <c r="A18" s="75">
        <v>5.0</v>
      </c>
      <c r="B18" s="76"/>
      <c r="C18" s="75"/>
      <c r="D18" s="77"/>
      <c r="E18" s="75"/>
      <c r="F18" s="75"/>
      <c r="G18" s="75"/>
      <c r="H18" s="81"/>
      <c r="I18" s="80"/>
      <c r="J18" s="39">
        <f t="shared" si="2"/>
        <v>0</v>
      </c>
    </row>
    <row r="19">
      <c r="A19" s="75">
        <v>6.0</v>
      </c>
      <c r="B19" s="76"/>
      <c r="C19" s="75"/>
      <c r="D19" s="94"/>
      <c r="E19" s="75"/>
      <c r="F19" s="75"/>
      <c r="G19" s="75"/>
      <c r="H19" s="75"/>
      <c r="I19" s="80"/>
      <c r="J19" s="89">
        <f t="shared" si="2"/>
        <v>0</v>
      </c>
    </row>
    <row r="20">
      <c r="A20" s="75">
        <v>7.0</v>
      </c>
      <c r="B20" s="76"/>
      <c r="C20" s="75"/>
      <c r="D20" s="94"/>
      <c r="E20" s="75"/>
      <c r="F20" s="75"/>
      <c r="G20" s="75"/>
      <c r="H20" s="81"/>
      <c r="I20" s="80"/>
      <c r="J20" s="95">
        <f t="shared" si="2"/>
        <v>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/>
      <c r="C28" s="86"/>
      <c r="D28" s="87"/>
      <c r="E28" s="75"/>
      <c r="F28" s="86"/>
      <c r="G28" s="75"/>
      <c r="H28" s="81"/>
      <c r="I28" s="88"/>
      <c r="J28" s="39">
        <f t="shared" ref="J28:J31" si="3">D28*H28</f>
        <v>0</v>
      </c>
    </row>
    <row r="29">
      <c r="A29" s="75">
        <v>2.0</v>
      </c>
      <c r="B29" s="75"/>
      <c r="C29" s="86"/>
      <c r="D29" s="87"/>
      <c r="E29" s="75"/>
      <c r="F29" s="86"/>
      <c r="G29" s="75"/>
      <c r="H29" s="81"/>
      <c r="I29" s="88"/>
      <c r="J29" s="39">
        <f t="shared" si="3"/>
        <v>0</v>
      </c>
    </row>
    <row r="30">
      <c r="A30" s="75">
        <v>3.0</v>
      </c>
      <c r="B30" s="75"/>
      <c r="C30" s="86"/>
      <c r="D30" s="87"/>
      <c r="E30" s="75"/>
      <c r="F30" s="89"/>
      <c r="G30" s="75"/>
      <c r="H30" s="81"/>
      <c r="I30" s="88"/>
      <c r="J30" s="39">
        <f t="shared" si="3"/>
        <v>0</v>
      </c>
    </row>
    <row r="31">
      <c r="A31" s="75">
        <v>4.0</v>
      </c>
      <c r="B31" s="75"/>
      <c r="C31" s="86"/>
      <c r="D31" s="87"/>
      <c r="E31" s="75"/>
      <c r="F31" s="89"/>
      <c r="G31" s="75"/>
      <c r="H31" s="81"/>
      <c r="I31" s="88"/>
      <c r="J31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523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4150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0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4150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528</v>
      </c>
      <c r="C10" s="75" t="s">
        <v>466</v>
      </c>
      <c r="D10" s="77">
        <v>1.0</v>
      </c>
      <c r="E10" s="75" t="s">
        <v>525</v>
      </c>
      <c r="F10" s="78" t="s">
        <v>529</v>
      </c>
      <c r="G10" s="75" t="s">
        <v>530</v>
      </c>
      <c r="H10" s="79">
        <v>4150.0</v>
      </c>
      <c r="I10" s="81"/>
      <c r="J10" s="39">
        <f t="shared" ref="J10:J11" si="1">D10*H10</f>
        <v>4150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/>
      <c r="C14" s="75"/>
      <c r="D14" s="77"/>
      <c r="E14" s="75"/>
      <c r="F14" s="75"/>
      <c r="G14" s="75"/>
      <c r="H14" s="81"/>
      <c r="I14" s="80"/>
      <c r="J14" s="39">
        <f t="shared" ref="J14:J25" si="2">D14*H14</f>
        <v>0</v>
      </c>
    </row>
    <row r="15">
      <c r="A15" s="75">
        <v>2.0</v>
      </c>
      <c r="B15" s="76"/>
      <c r="C15" s="75"/>
      <c r="D15" s="77"/>
      <c r="E15" s="75"/>
      <c r="F15" s="75"/>
      <c r="G15" s="75"/>
      <c r="H15" s="81"/>
      <c r="I15" s="80"/>
      <c r="J15" s="39">
        <f t="shared" si="2"/>
        <v>0</v>
      </c>
    </row>
    <row r="16">
      <c r="A16" s="75">
        <v>3.0</v>
      </c>
      <c r="B16" s="76"/>
      <c r="C16" s="75"/>
      <c r="D16" s="77"/>
      <c r="E16" s="75"/>
      <c r="F16" s="75"/>
      <c r="G16" s="75"/>
      <c r="H16" s="81"/>
      <c r="I16" s="80"/>
      <c r="J16" s="39">
        <f t="shared" si="2"/>
        <v>0</v>
      </c>
    </row>
    <row r="17">
      <c r="A17" s="75">
        <v>4.0</v>
      </c>
      <c r="B17" s="76"/>
      <c r="C17" s="75"/>
      <c r="D17" s="77"/>
      <c r="E17" s="75"/>
      <c r="F17" s="75"/>
      <c r="G17" s="75"/>
      <c r="H17" s="81"/>
      <c r="I17" s="80"/>
      <c r="J17" s="39">
        <f t="shared" si="2"/>
        <v>0</v>
      </c>
    </row>
    <row r="18">
      <c r="A18" s="75">
        <v>5.0</v>
      </c>
      <c r="B18" s="76"/>
      <c r="C18" s="75"/>
      <c r="D18" s="77"/>
      <c r="E18" s="75"/>
      <c r="F18" s="75"/>
      <c r="G18" s="75"/>
      <c r="H18" s="81"/>
      <c r="I18" s="80"/>
      <c r="J18" s="39">
        <f t="shared" si="2"/>
        <v>0</v>
      </c>
    </row>
    <row r="19">
      <c r="A19" s="75">
        <v>6.0</v>
      </c>
      <c r="B19" s="76"/>
      <c r="C19" s="75"/>
      <c r="D19" s="94"/>
      <c r="E19" s="75"/>
      <c r="F19" s="75"/>
      <c r="G19" s="75"/>
      <c r="H19" s="75"/>
      <c r="I19" s="80"/>
      <c r="J19" s="89">
        <f t="shared" si="2"/>
        <v>0</v>
      </c>
    </row>
    <row r="20">
      <c r="A20" s="75">
        <v>7.0</v>
      </c>
      <c r="B20" s="76"/>
      <c r="C20" s="75"/>
      <c r="D20" s="94"/>
      <c r="E20" s="75"/>
      <c r="F20" s="75"/>
      <c r="G20" s="75"/>
      <c r="H20" s="81"/>
      <c r="I20" s="80"/>
      <c r="J20" s="95">
        <f t="shared" si="2"/>
        <v>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/>
      <c r="C28" s="86"/>
      <c r="D28" s="87"/>
      <c r="E28" s="75"/>
      <c r="F28" s="86"/>
      <c r="G28" s="75"/>
      <c r="H28" s="81"/>
      <c r="I28" s="88"/>
      <c r="J28" s="39">
        <f t="shared" ref="J28:J31" si="3">D28*H28</f>
        <v>0</v>
      </c>
    </row>
    <row r="29">
      <c r="A29" s="75">
        <v>2.0</v>
      </c>
      <c r="B29" s="75"/>
      <c r="C29" s="86"/>
      <c r="D29" s="87"/>
      <c r="E29" s="75"/>
      <c r="F29" s="86"/>
      <c r="G29" s="75"/>
      <c r="H29" s="81"/>
      <c r="I29" s="88"/>
      <c r="J29" s="39">
        <f t="shared" si="3"/>
        <v>0</v>
      </c>
    </row>
    <row r="30">
      <c r="A30" s="75">
        <v>3.0</v>
      </c>
      <c r="B30" s="75"/>
      <c r="C30" s="86"/>
      <c r="D30" s="87"/>
      <c r="E30" s="75"/>
      <c r="F30" s="89"/>
      <c r="G30" s="75"/>
      <c r="H30" s="81"/>
      <c r="I30" s="88"/>
      <c r="J30" s="39">
        <f t="shared" si="3"/>
        <v>0</v>
      </c>
    </row>
    <row r="31">
      <c r="A31" s="75">
        <v>4.0</v>
      </c>
      <c r="B31" s="75"/>
      <c r="C31" s="86"/>
      <c r="D31" s="87"/>
      <c r="E31" s="75"/>
      <c r="F31" s="89"/>
      <c r="G31" s="75"/>
      <c r="H31" s="81"/>
      <c r="I31" s="88"/>
      <c r="J31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531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1017.366667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6267.366667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 t="s">
        <v>148</v>
      </c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 t="s">
        <v>148</v>
      </c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487</v>
      </c>
      <c r="D19" s="94"/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0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89">
        <v>1500.0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532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SUM(J10:J12)</f>
        <v>3566.666667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SUM(J15:J22)</f>
        <v>2377.366667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SUM(J29:J32)</f>
        <v>5750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11694.03333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535</v>
      </c>
      <c r="C10" s="75"/>
      <c r="D10" s="77">
        <f>1/5</f>
        <v>0.2</v>
      </c>
      <c r="E10" s="75" t="s">
        <v>148</v>
      </c>
      <c r="F10" s="78" t="s">
        <v>536</v>
      </c>
      <c r="G10" s="75" t="s">
        <v>537</v>
      </c>
      <c r="H10" s="79">
        <v>12000.0</v>
      </c>
      <c r="I10" s="81"/>
      <c r="J10" s="131">
        <f t="shared" ref="J10:J12" si="1">D10*H10</f>
        <v>2400</v>
      </c>
    </row>
    <row r="11">
      <c r="A11" s="75">
        <v>2.0</v>
      </c>
      <c r="B11" s="129" t="s">
        <v>538</v>
      </c>
      <c r="C11" s="75"/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81">
        <v>12000.0</v>
      </c>
      <c r="I11" s="81"/>
      <c r="J11" s="131">
        <f t="shared" si="1"/>
        <v>400</v>
      </c>
    </row>
    <row r="12">
      <c r="A12" s="75">
        <v>3.0</v>
      </c>
      <c r="B12" s="129" t="s">
        <v>540</v>
      </c>
      <c r="C12" s="75"/>
      <c r="D12" s="132">
        <f>1.15/18</f>
        <v>0.06388888889</v>
      </c>
      <c r="E12" s="75" t="s">
        <v>148</v>
      </c>
      <c r="F12" s="78" t="s">
        <v>541</v>
      </c>
      <c r="G12" s="75" t="s">
        <v>537</v>
      </c>
      <c r="H12" s="75">
        <v>12000.0</v>
      </c>
      <c r="I12" s="75"/>
      <c r="J12" s="133">
        <f t="shared" si="1"/>
        <v>766.6666667</v>
      </c>
    </row>
    <row r="13">
      <c r="A13" s="40" t="s">
        <v>31</v>
      </c>
      <c r="J13" s="40"/>
    </row>
    <row r="14">
      <c r="A14" s="41" t="s">
        <v>10</v>
      </c>
      <c r="B14" s="41" t="s">
        <v>11</v>
      </c>
      <c r="C14" s="41" t="s">
        <v>12</v>
      </c>
      <c r="D14" s="41" t="s">
        <v>13</v>
      </c>
      <c r="E14" s="41" t="s">
        <v>14</v>
      </c>
      <c r="F14" s="41" t="s">
        <v>32</v>
      </c>
      <c r="G14" s="41" t="s">
        <v>16</v>
      </c>
      <c r="H14" s="41" t="s">
        <v>17</v>
      </c>
      <c r="I14" s="41" t="s">
        <v>18</v>
      </c>
      <c r="J14" s="41" t="s">
        <v>19</v>
      </c>
    </row>
    <row r="15">
      <c r="A15" s="75">
        <v>1.0</v>
      </c>
      <c r="B15" s="76" t="s">
        <v>33</v>
      </c>
      <c r="C15" s="75" t="s">
        <v>21</v>
      </c>
      <c r="D15" s="77">
        <f>1/150</f>
        <v>0.006666666667</v>
      </c>
      <c r="E15" s="75" t="s">
        <v>35</v>
      </c>
      <c r="F15" s="75" t="s">
        <v>473</v>
      </c>
      <c r="G15" s="75" t="s">
        <v>38</v>
      </c>
      <c r="H15" s="81">
        <v>25000.0</v>
      </c>
      <c r="I15" s="80"/>
      <c r="J15" s="39">
        <f t="shared" ref="J15:J26" si="2">D15*H15</f>
        <v>166.6666667</v>
      </c>
    </row>
    <row r="16">
      <c r="A16" s="75">
        <v>2.0</v>
      </c>
      <c r="B16" s="76" t="s">
        <v>39</v>
      </c>
      <c r="C16" s="75" t="s">
        <v>21</v>
      </c>
      <c r="D16" s="77">
        <f>4/200</f>
        <v>0.02</v>
      </c>
      <c r="E16" s="75" t="s">
        <v>40</v>
      </c>
      <c r="F16" s="75" t="s">
        <v>474</v>
      </c>
      <c r="G16" s="75" t="s">
        <v>38</v>
      </c>
      <c r="H16" s="81">
        <v>13000.0</v>
      </c>
      <c r="I16" s="80"/>
      <c r="J16" s="39">
        <f t="shared" si="2"/>
        <v>260</v>
      </c>
    </row>
    <row r="17">
      <c r="A17" s="75">
        <v>3.0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4.0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5.0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6.0</v>
      </c>
      <c r="B20" s="76" t="s">
        <v>476</v>
      </c>
      <c r="C20" s="75" t="s">
        <v>352</v>
      </c>
      <c r="D20" s="94">
        <v>1.0</v>
      </c>
      <c r="E20" s="75" t="s">
        <v>47</v>
      </c>
      <c r="F20" s="75"/>
      <c r="G20" s="75" t="s">
        <v>68</v>
      </c>
      <c r="H20" s="75">
        <v>1000.0</v>
      </c>
      <c r="I20" s="80"/>
      <c r="J20" s="89">
        <f t="shared" si="2"/>
        <v>1000</v>
      </c>
    </row>
    <row r="21">
      <c r="A21" s="75">
        <v>7.0</v>
      </c>
      <c r="B21" s="76" t="s">
        <v>478</v>
      </c>
      <c r="C21" s="75" t="s">
        <v>479</v>
      </c>
      <c r="D21" s="94">
        <v>1.0</v>
      </c>
      <c r="E21" s="75" t="s">
        <v>148</v>
      </c>
      <c r="F21" s="75" t="s">
        <v>480</v>
      </c>
      <c r="G21" s="75" t="s">
        <v>481</v>
      </c>
      <c r="H21" s="81">
        <f>28000/250</f>
        <v>112</v>
      </c>
      <c r="I21" s="80"/>
      <c r="J21" s="39">
        <f t="shared" si="2"/>
        <v>112</v>
      </c>
    </row>
    <row r="22">
      <c r="A22" s="75">
        <v>8.0</v>
      </c>
      <c r="B22" s="76" t="s">
        <v>546</v>
      </c>
      <c r="C22" s="75"/>
      <c r="D22" s="77">
        <v>0.03</v>
      </c>
      <c r="E22" s="75" t="s">
        <v>148</v>
      </c>
      <c r="F22" s="75" t="s">
        <v>547</v>
      </c>
      <c r="G22" s="75" t="s">
        <v>537</v>
      </c>
      <c r="H22" s="134">
        <v>12000.0</v>
      </c>
      <c r="I22" s="80"/>
      <c r="J22" s="89">
        <f t="shared" si="2"/>
        <v>360</v>
      </c>
    </row>
    <row r="23">
      <c r="A23" s="75">
        <v>9.0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10.0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11.0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75">
        <v>12.0</v>
      </c>
      <c r="B26" s="76"/>
      <c r="C26" s="75"/>
      <c r="D26" s="83"/>
      <c r="E26" s="75"/>
      <c r="F26" s="75"/>
      <c r="G26" s="75"/>
      <c r="H26" s="81"/>
      <c r="I26" s="80"/>
      <c r="J26" s="39">
        <f t="shared" si="2"/>
        <v>0</v>
      </c>
    </row>
    <row r="27">
      <c r="A27" s="42" t="s">
        <v>63</v>
      </c>
      <c r="J27" s="42"/>
    </row>
    <row r="28">
      <c r="A28" s="43" t="s">
        <v>10</v>
      </c>
      <c r="B28" s="43" t="s">
        <v>64</v>
      </c>
      <c r="C28" s="84"/>
      <c r="D28" s="43" t="s">
        <v>13</v>
      </c>
      <c r="E28" s="43" t="s">
        <v>14</v>
      </c>
      <c r="F28" s="43" t="s">
        <v>32</v>
      </c>
      <c r="G28" s="43" t="s">
        <v>16</v>
      </c>
      <c r="H28" s="43" t="s">
        <v>65</v>
      </c>
      <c r="I28" s="85"/>
      <c r="J28" s="43" t="s">
        <v>19</v>
      </c>
    </row>
    <row r="29">
      <c r="A29" s="75">
        <v>1.0</v>
      </c>
      <c r="B29" s="75" t="s">
        <v>357</v>
      </c>
      <c r="C29" s="86"/>
      <c r="D29" s="87">
        <v>1.0</v>
      </c>
      <c r="E29" s="75" t="s">
        <v>47</v>
      </c>
      <c r="F29" s="86"/>
      <c r="G29" s="75" t="s">
        <v>68</v>
      </c>
      <c r="H29" s="81">
        <v>750.0</v>
      </c>
      <c r="I29" s="88"/>
      <c r="J29" s="39">
        <f t="shared" ref="J29:J32" si="3">D29*H29</f>
        <v>750</v>
      </c>
    </row>
    <row r="30">
      <c r="A30" s="75">
        <v>2.0</v>
      </c>
      <c r="B30" s="75" t="s">
        <v>360</v>
      </c>
      <c r="C30" s="86"/>
      <c r="D30" s="87">
        <v>1.0</v>
      </c>
      <c r="E30" s="75" t="s">
        <v>47</v>
      </c>
      <c r="F30" s="86"/>
      <c r="G30" s="75" t="s">
        <v>68</v>
      </c>
      <c r="H30" s="81">
        <v>2000.0</v>
      </c>
      <c r="I30" s="88"/>
      <c r="J30" s="39">
        <f t="shared" si="3"/>
        <v>2000</v>
      </c>
    </row>
    <row r="31">
      <c r="A31" s="75">
        <v>3.0</v>
      </c>
      <c r="B31" s="75" t="s">
        <v>362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  <row r="32">
      <c r="A32" s="75">
        <v>4.0</v>
      </c>
      <c r="B32" s="75" t="s">
        <v>476</v>
      </c>
      <c r="C32" s="86"/>
      <c r="D32" s="87">
        <v>1.0</v>
      </c>
      <c r="E32" s="75" t="s">
        <v>47</v>
      </c>
      <c r="F32" s="89"/>
      <c r="G32" s="75" t="s">
        <v>68</v>
      </c>
      <c r="H32" s="81">
        <v>1500.0</v>
      </c>
      <c r="I32" s="88"/>
      <c r="J32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533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SUM(J10:J12)</f>
        <v>4180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SUM(J15:J22)</f>
        <v>2377.366667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SUM(J29:J32)</f>
        <v>5750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12307.36667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535</v>
      </c>
      <c r="C10" s="75"/>
      <c r="D10" s="77">
        <f>1/4</f>
        <v>0.25</v>
      </c>
      <c r="E10" s="75" t="s">
        <v>148</v>
      </c>
      <c r="F10" s="78" t="s">
        <v>542</v>
      </c>
      <c r="G10" s="75" t="s">
        <v>537</v>
      </c>
      <c r="H10" s="79">
        <v>12000.0</v>
      </c>
      <c r="I10" s="81"/>
      <c r="J10" s="39">
        <f t="shared" ref="J10:J12" si="1">D10*H10</f>
        <v>3000</v>
      </c>
    </row>
    <row r="11">
      <c r="A11" s="75">
        <v>2.0</v>
      </c>
      <c r="B11" s="129" t="s">
        <v>538</v>
      </c>
      <c r="C11" s="75"/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81">
        <v>12000.0</v>
      </c>
      <c r="I11" s="81"/>
      <c r="J11" s="39">
        <f t="shared" si="1"/>
        <v>400</v>
      </c>
    </row>
    <row r="12">
      <c r="A12" s="75">
        <v>3.0</v>
      </c>
      <c r="B12" s="129" t="s">
        <v>540</v>
      </c>
      <c r="C12" s="75"/>
      <c r="D12" s="132">
        <f>1.3/20</f>
        <v>0.065</v>
      </c>
      <c r="E12" s="75" t="s">
        <v>148</v>
      </c>
      <c r="F12" s="78" t="s">
        <v>544</v>
      </c>
      <c r="G12" s="75" t="s">
        <v>537</v>
      </c>
      <c r="H12" s="78">
        <v>12000.0</v>
      </c>
      <c r="I12" s="75"/>
      <c r="J12" s="133">
        <f t="shared" si="1"/>
        <v>780</v>
      </c>
    </row>
    <row r="13">
      <c r="A13" s="40" t="s">
        <v>31</v>
      </c>
      <c r="J13" s="40"/>
    </row>
    <row r="14">
      <c r="A14" s="41" t="s">
        <v>10</v>
      </c>
      <c r="B14" s="41" t="s">
        <v>11</v>
      </c>
      <c r="C14" s="41" t="s">
        <v>12</v>
      </c>
      <c r="D14" s="41" t="s">
        <v>13</v>
      </c>
      <c r="E14" s="41" t="s">
        <v>14</v>
      </c>
      <c r="F14" s="41" t="s">
        <v>32</v>
      </c>
      <c r="G14" s="41" t="s">
        <v>16</v>
      </c>
      <c r="H14" s="41" t="s">
        <v>17</v>
      </c>
      <c r="I14" s="41" t="s">
        <v>18</v>
      </c>
      <c r="J14" s="41" t="s">
        <v>19</v>
      </c>
    </row>
    <row r="15">
      <c r="A15" s="75">
        <v>1.0</v>
      </c>
      <c r="B15" s="76" t="s">
        <v>33</v>
      </c>
      <c r="C15" s="75" t="s">
        <v>21</v>
      </c>
      <c r="D15" s="77">
        <f>1/150</f>
        <v>0.006666666667</v>
      </c>
      <c r="E15" s="75" t="s">
        <v>35</v>
      </c>
      <c r="F15" s="75" t="s">
        <v>473</v>
      </c>
      <c r="G15" s="75" t="s">
        <v>38</v>
      </c>
      <c r="H15" s="81">
        <v>25000.0</v>
      </c>
      <c r="I15" s="80"/>
      <c r="J15" s="39">
        <f t="shared" ref="J15:J26" si="2">D15*H15</f>
        <v>166.6666667</v>
      </c>
    </row>
    <row r="16">
      <c r="A16" s="75">
        <v>2.0</v>
      </c>
      <c r="B16" s="76" t="s">
        <v>39</v>
      </c>
      <c r="C16" s="75" t="s">
        <v>21</v>
      </c>
      <c r="D16" s="77">
        <f>4/200</f>
        <v>0.02</v>
      </c>
      <c r="E16" s="75" t="s">
        <v>40</v>
      </c>
      <c r="F16" s="75" t="s">
        <v>474</v>
      </c>
      <c r="G16" s="75" t="s">
        <v>38</v>
      </c>
      <c r="H16" s="81">
        <v>13000.0</v>
      </c>
      <c r="I16" s="80"/>
      <c r="J16" s="39">
        <f t="shared" si="2"/>
        <v>260</v>
      </c>
    </row>
    <row r="17">
      <c r="A17" s="75">
        <v>3.0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4.0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5.0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6.0</v>
      </c>
      <c r="B20" s="76" t="s">
        <v>476</v>
      </c>
      <c r="C20" s="75" t="s">
        <v>352</v>
      </c>
      <c r="D20" s="94">
        <v>1.0</v>
      </c>
      <c r="E20" s="75" t="s">
        <v>47</v>
      </c>
      <c r="F20" s="75"/>
      <c r="G20" s="75" t="s">
        <v>68</v>
      </c>
      <c r="H20" s="75">
        <v>1000.0</v>
      </c>
      <c r="I20" s="80"/>
      <c r="J20" s="89">
        <f t="shared" si="2"/>
        <v>1000</v>
      </c>
    </row>
    <row r="21">
      <c r="A21" s="75">
        <v>7.0</v>
      </c>
      <c r="B21" s="76" t="s">
        <v>478</v>
      </c>
      <c r="C21" s="75" t="s">
        <v>479</v>
      </c>
      <c r="D21" s="94">
        <v>1.0</v>
      </c>
      <c r="E21" s="75" t="s">
        <v>148</v>
      </c>
      <c r="F21" s="75" t="s">
        <v>480</v>
      </c>
      <c r="G21" s="75" t="s">
        <v>481</v>
      </c>
      <c r="H21" s="81">
        <f>28000/250</f>
        <v>112</v>
      </c>
      <c r="I21" s="80"/>
      <c r="J21" s="39">
        <f t="shared" si="2"/>
        <v>112</v>
      </c>
    </row>
    <row r="22">
      <c r="A22" s="75">
        <v>8.0</v>
      </c>
      <c r="B22" s="76" t="s">
        <v>546</v>
      </c>
      <c r="C22" s="75"/>
      <c r="D22" s="77">
        <v>0.03</v>
      </c>
      <c r="E22" s="75" t="s">
        <v>148</v>
      </c>
      <c r="F22" s="75" t="s">
        <v>547</v>
      </c>
      <c r="G22" s="75" t="s">
        <v>537</v>
      </c>
      <c r="H22" s="134">
        <v>12000.0</v>
      </c>
      <c r="I22" s="80"/>
      <c r="J22" s="89">
        <f t="shared" si="2"/>
        <v>360</v>
      </c>
    </row>
    <row r="23">
      <c r="A23" s="75">
        <v>9.0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10.0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11.0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75">
        <v>12.0</v>
      </c>
      <c r="B26" s="76"/>
      <c r="C26" s="75"/>
      <c r="D26" s="83"/>
      <c r="E26" s="75"/>
      <c r="F26" s="75"/>
      <c r="G26" s="75"/>
      <c r="H26" s="81"/>
      <c r="I26" s="80"/>
      <c r="J26" s="39">
        <f t="shared" si="2"/>
        <v>0</v>
      </c>
    </row>
    <row r="27">
      <c r="A27" s="42" t="s">
        <v>63</v>
      </c>
      <c r="J27" s="42"/>
    </row>
    <row r="28">
      <c r="A28" s="43" t="s">
        <v>10</v>
      </c>
      <c r="B28" s="43" t="s">
        <v>64</v>
      </c>
      <c r="C28" s="84"/>
      <c r="D28" s="43" t="s">
        <v>13</v>
      </c>
      <c r="E28" s="43" t="s">
        <v>14</v>
      </c>
      <c r="F28" s="43" t="s">
        <v>32</v>
      </c>
      <c r="G28" s="43" t="s">
        <v>16</v>
      </c>
      <c r="H28" s="43" t="s">
        <v>65</v>
      </c>
      <c r="I28" s="85"/>
      <c r="J28" s="43" t="s">
        <v>19</v>
      </c>
    </row>
    <row r="29">
      <c r="A29" s="75">
        <v>1.0</v>
      </c>
      <c r="B29" s="75" t="s">
        <v>357</v>
      </c>
      <c r="C29" s="86"/>
      <c r="D29" s="87">
        <v>1.0</v>
      </c>
      <c r="E29" s="75" t="s">
        <v>47</v>
      </c>
      <c r="F29" s="86"/>
      <c r="G29" s="75" t="s">
        <v>68</v>
      </c>
      <c r="H29" s="81">
        <v>750.0</v>
      </c>
      <c r="I29" s="88"/>
      <c r="J29" s="39">
        <f t="shared" ref="J29:J32" si="3">D29*H29</f>
        <v>750</v>
      </c>
    </row>
    <row r="30">
      <c r="A30" s="75">
        <v>2.0</v>
      </c>
      <c r="B30" s="75" t="s">
        <v>360</v>
      </c>
      <c r="C30" s="86"/>
      <c r="D30" s="87">
        <v>1.0</v>
      </c>
      <c r="E30" s="75" t="s">
        <v>47</v>
      </c>
      <c r="F30" s="86"/>
      <c r="G30" s="75" t="s">
        <v>68</v>
      </c>
      <c r="H30" s="81">
        <v>2000.0</v>
      </c>
      <c r="I30" s="88"/>
      <c r="J30" s="39">
        <f t="shared" si="3"/>
        <v>2000</v>
      </c>
    </row>
    <row r="31">
      <c r="A31" s="75">
        <v>3.0</v>
      </c>
      <c r="B31" s="75" t="s">
        <v>362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  <row r="32">
      <c r="A32" s="75">
        <v>4.0</v>
      </c>
      <c r="B32" s="75" t="s">
        <v>476</v>
      </c>
      <c r="C32" s="86"/>
      <c r="D32" s="87">
        <v>1.0</v>
      </c>
      <c r="E32" s="75" t="s">
        <v>47</v>
      </c>
      <c r="F32" s="89"/>
      <c r="G32" s="75" t="s">
        <v>68</v>
      </c>
      <c r="H32" s="81">
        <v>1500.0</v>
      </c>
      <c r="I32" s="88"/>
      <c r="J32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534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2800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SUM(J15:J22)</f>
        <v>9884.241667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SUM(J29:J32)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17934.24167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535</v>
      </c>
      <c r="C10" s="75" t="s">
        <v>543</v>
      </c>
      <c r="D10" s="77">
        <f>1/5</f>
        <v>0.2</v>
      </c>
      <c r="E10" s="75" t="s">
        <v>148</v>
      </c>
      <c r="F10" s="78" t="s">
        <v>536</v>
      </c>
      <c r="G10" s="75" t="s">
        <v>537</v>
      </c>
      <c r="H10" s="79">
        <v>12000.0</v>
      </c>
      <c r="I10" s="81"/>
      <c r="J10" s="39">
        <f t="shared" ref="J10:J12" si="1">D10*H10</f>
        <v>2400</v>
      </c>
    </row>
    <row r="11">
      <c r="A11" s="75">
        <v>2.0</v>
      </c>
      <c r="B11" s="129" t="s">
        <v>538</v>
      </c>
      <c r="C11" s="75" t="s">
        <v>543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12000.0</v>
      </c>
      <c r="I11" s="81"/>
      <c r="J11" s="39">
        <f t="shared" si="1"/>
        <v>400</v>
      </c>
    </row>
    <row r="12">
      <c r="A12" s="75">
        <v>3.0</v>
      </c>
      <c r="B12" s="129" t="s">
        <v>540</v>
      </c>
      <c r="C12" s="75" t="s">
        <v>543</v>
      </c>
      <c r="D12" s="132">
        <f>1.15/20</f>
        <v>0.0575</v>
      </c>
      <c r="E12" s="75" t="s">
        <v>148</v>
      </c>
      <c r="F12" s="78" t="s">
        <v>545</v>
      </c>
      <c r="G12" s="75" t="s">
        <v>537</v>
      </c>
      <c r="H12" s="75">
        <v>12000.0</v>
      </c>
      <c r="I12" s="75"/>
      <c r="J12" s="133">
        <f t="shared" si="1"/>
        <v>690</v>
      </c>
    </row>
    <row r="13">
      <c r="A13" s="40" t="s">
        <v>31</v>
      </c>
      <c r="J13" s="40"/>
    </row>
    <row r="14">
      <c r="A14" s="41" t="s">
        <v>10</v>
      </c>
      <c r="B14" s="41" t="s">
        <v>11</v>
      </c>
      <c r="C14" s="41" t="s">
        <v>12</v>
      </c>
      <c r="D14" s="41" t="s">
        <v>13</v>
      </c>
      <c r="E14" s="41" t="s">
        <v>14</v>
      </c>
      <c r="F14" s="41" t="s">
        <v>32</v>
      </c>
      <c r="G14" s="41" t="s">
        <v>16</v>
      </c>
      <c r="H14" s="41" t="s">
        <v>17</v>
      </c>
      <c r="I14" s="41" t="s">
        <v>18</v>
      </c>
      <c r="J14" s="41" t="s">
        <v>19</v>
      </c>
    </row>
    <row r="15">
      <c r="A15" s="75">
        <v>1.0</v>
      </c>
      <c r="B15" s="76" t="s">
        <v>33</v>
      </c>
      <c r="C15" s="75" t="s">
        <v>21</v>
      </c>
      <c r="D15" s="77">
        <f>1/150</f>
        <v>0.006666666667</v>
      </c>
      <c r="E15" s="75" t="s">
        <v>35</v>
      </c>
      <c r="F15" s="75" t="s">
        <v>473</v>
      </c>
      <c r="G15" s="75" t="s">
        <v>38</v>
      </c>
      <c r="H15" s="81">
        <v>25000.0</v>
      </c>
      <c r="I15" s="80"/>
      <c r="J15" s="39">
        <f t="shared" ref="J15:J26" si="2">D15*H15</f>
        <v>166.6666667</v>
      </c>
    </row>
    <row r="16">
      <c r="A16" s="75">
        <v>2.0</v>
      </c>
      <c r="B16" s="76" t="s">
        <v>39</v>
      </c>
      <c r="C16" s="75" t="s">
        <v>21</v>
      </c>
      <c r="D16" s="77">
        <f>4/200</f>
        <v>0.02</v>
      </c>
      <c r="E16" s="75" t="s">
        <v>40</v>
      </c>
      <c r="F16" s="75" t="s">
        <v>474</v>
      </c>
      <c r="G16" s="75" t="s">
        <v>38</v>
      </c>
      <c r="H16" s="81">
        <v>13000.0</v>
      </c>
      <c r="I16" s="80"/>
      <c r="J16" s="39">
        <f t="shared" si="2"/>
        <v>260</v>
      </c>
    </row>
    <row r="17">
      <c r="A17" s="75">
        <v>3.0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4.0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5.0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6.0</v>
      </c>
      <c r="B20" s="76" t="s">
        <v>126</v>
      </c>
      <c r="C20" s="75" t="s">
        <v>58</v>
      </c>
      <c r="D20" s="94">
        <f>D10+D11+D12</f>
        <v>0.2908333333</v>
      </c>
      <c r="E20" s="75" t="s">
        <v>47</v>
      </c>
      <c r="F20" s="75"/>
      <c r="G20" s="75" t="s">
        <v>68</v>
      </c>
      <c r="H20" s="75">
        <f>19500*1.5</f>
        <v>29250</v>
      </c>
      <c r="I20" s="80"/>
      <c r="J20" s="89">
        <f t="shared" si="2"/>
        <v>8506.875</v>
      </c>
    </row>
    <row r="21">
      <c r="A21" s="75">
        <v>7.0</v>
      </c>
      <c r="B21" s="76" t="s">
        <v>478</v>
      </c>
      <c r="C21" s="75" t="s">
        <v>479</v>
      </c>
      <c r="D21" s="94">
        <v>1.0</v>
      </c>
      <c r="E21" s="75" t="s">
        <v>148</v>
      </c>
      <c r="F21" s="75" t="s">
        <v>480</v>
      </c>
      <c r="G21" s="75" t="s">
        <v>481</v>
      </c>
      <c r="H21" s="81">
        <f>28000/250</f>
        <v>112</v>
      </c>
      <c r="I21" s="80"/>
      <c r="J21" s="95">
        <f t="shared" si="2"/>
        <v>112</v>
      </c>
    </row>
    <row r="22">
      <c r="A22" s="75">
        <v>8.0</v>
      </c>
      <c r="B22" s="76" t="s">
        <v>546</v>
      </c>
      <c r="C22" s="75"/>
      <c r="D22" s="77">
        <v>0.03</v>
      </c>
      <c r="E22" s="75" t="s">
        <v>148</v>
      </c>
      <c r="F22" s="75" t="s">
        <v>547</v>
      </c>
      <c r="G22" s="75" t="s">
        <v>537</v>
      </c>
      <c r="H22" s="134">
        <v>12000.0</v>
      </c>
      <c r="I22" s="80"/>
      <c r="J22" s="89">
        <f t="shared" si="2"/>
        <v>360</v>
      </c>
    </row>
    <row r="23">
      <c r="A23" s="75">
        <v>9.0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10.0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11.0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75">
        <v>12.0</v>
      </c>
      <c r="B26" s="76"/>
      <c r="C26" s="75"/>
      <c r="D26" s="83"/>
      <c r="E26" s="75"/>
      <c r="F26" s="75"/>
      <c r="G26" s="75"/>
      <c r="H26" s="81"/>
      <c r="I26" s="80"/>
      <c r="J26" s="39">
        <f t="shared" si="2"/>
        <v>0</v>
      </c>
    </row>
    <row r="27">
      <c r="A27" s="42" t="s">
        <v>63</v>
      </c>
      <c r="J27" s="42"/>
    </row>
    <row r="28">
      <c r="A28" s="43" t="s">
        <v>10</v>
      </c>
      <c r="B28" s="43" t="s">
        <v>64</v>
      </c>
      <c r="C28" s="84"/>
      <c r="D28" s="43" t="s">
        <v>13</v>
      </c>
      <c r="E28" s="43" t="s">
        <v>14</v>
      </c>
      <c r="F28" s="43" t="s">
        <v>32</v>
      </c>
      <c r="G28" s="43" t="s">
        <v>16</v>
      </c>
      <c r="H28" s="43" t="s">
        <v>65</v>
      </c>
      <c r="I28" s="85"/>
      <c r="J28" s="43" t="s">
        <v>19</v>
      </c>
    </row>
    <row r="29">
      <c r="A29" s="75">
        <v>1.0</v>
      </c>
      <c r="B29" s="75" t="s">
        <v>357</v>
      </c>
      <c r="C29" s="86"/>
      <c r="D29" s="87">
        <v>1.0</v>
      </c>
      <c r="E29" s="75" t="s">
        <v>47</v>
      </c>
      <c r="F29" s="86"/>
      <c r="G29" s="75" t="s">
        <v>68</v>
      </c>
      <c r="H29" s="81">
        <v>750.0</v>
      </c>
      <c r="I29" s="88"/>
      <c r="J29" s="89">
        <v>1750.0</v>
      </c>
    </row>
    <row r="30">
      <c r="A30" s="75">
        <v>2.0</v>
      </c>
      <c r="B30" s="75" t="s">
        <v>360</v>
      </c>
      <c r="C30" s="86"/>
      <c r="D30" s="87">
        <v>1.0</v>
      </c>
      <c r="E30" s="75" t="s">
        <v>47</v>
      </c>
      <c r="F30" s="86"/>
      <c r="G30" s="75" t="s">
        <v>68</v>
      </c>
      <c r="H30" s="81">
        <v>2000.0</v>
      </c>
      <c r="I30" s="88"/>
      <c r="J30" s="39">
        <f t="shared" ref="J30:J32" si="3">D30*H30</f>
        <v>2000</v>
      </c>
    </row>
    <row r="31">
      <c r="A31" s="75">
        <v>3.0</v>
      </c>
      <c r="B31" s="75" t="s">
        <v>362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  <row r="32">
      <c r="A32" s="75"/>
      <c r="B32" s="75"/>
      <c r="C32" s="86"/>
      <c r="D32" s="87"/>
      <c r="E32" s="75"/>
      <c r="F32" s="89"/>
      <c r="G32" s="75"/>
      <c r="H32" s="81"/>
      <c r="I32" s="88"/>
      <c r="J32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548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3400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SUM(J15:J22)</f>
        <v>11566.11667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SUM(J29:J32)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20216.11667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535</v>
      </c>
      <c r="C10" s="75" t="s">
        <v>543</v>
      </c>
      <c r="D10" s="77">
        <f>1/4</f>
        <v>0.25</v>
      </c>
      <c r="E10" s="75" t="s">
        <v>148</v>
      </c>
      <c r="F10" s="78" t="s">
        <v>542</v>
      </c>
      <c r="G10" s="75" t="s">
        <v>537</v>
      </c>
      <c r="H10" s="79">
        <v>12000.0</v>
      </c>
      <c r="I10" s="81"/>
      <c r="J10" s="39">
        <f t="shared" ref="J10:J12" si="1">D10*H10</f>
        <v>3000</v>
      </c>
    </row>
    <row r="11">
      <c r="A11" s="75">
        <v>2.0</v>
      </c>
      <c r="B11" s="129" t="s">
        <v>538</v>
      </c>
      <c r="C11" s="75" t="s">
        <v>543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12000.0</v>
      </c>
      <c r="I11" s="81"/>
      <c r="J11" s="39">
        <f t="shared" si="1"/>
        <v>400</v>
      </c>
    </row>
    <row r="12">
      <c r="A12" s="75">
        <v>3.0</v>
      </c>
      <c r="B12" s="129" t="s">
        <v>540</v>
      </c>
      <c r="C12" s="75" t="s">
        <v>543</v>
      </c>
      <c r="D12" s="132">
        <f>1.3/20</f>
        <v>0.065</v>
      </c>
      <c r="E12" s="75" t="s">
        <v>148</v>
      </c>
      <c r="F12" s="78" t="s">
        <v>544</v>
      </c>
      <c r="G12" s="75" t="s">
        <v>537</v>
      </c>
      <c r="H12" s="78">
        <v>12000.0</v>
      </c>
      <c r="I12" s="75"/>
      <c r="J12" s="133">
        <f t="shared" si="1"/>
        <v>780</v>
      </c>
    </row>
    <row r="13">
      <c r="A13" s="40" t="s">
        <v>31</v>
      </c>
      <c r="J13" s="40"/>
    </row>
    <row r="14">
      <c r="A14" s="41" t="s">
        <v>10</v>
      </c>
      <c r="B14" s="41" t="s">
        <v>11</v>
      </c>
      <c r="C14" s="41" t="s">
        <v>12</v>
      </c>
      <c r="D14" s="41" t="s">
        <v>13</v>
      </c>
      <c r="E14" s="41" t="s">
        <v>14</v>
      </c>
      <c r="F14" s="41" t="s">
        <v>32</v>
      </c>
      <c r="G14" s="41" t="s">
        <v>16</v>
      </c>
      <c r="H14" s="41" t="s">
        <v>17</v>
      </c>
      <c r="I14" s="41" t="s">
        <v>18</v>
      </c>
      <c r="J14" s="41" t="s">
        <v>19</v>
      </c>
    </row>
    <row r="15">
      <c r="A15" s="75">
        <v>1.0</v>
      </c>
      <c r="B15" s="76" t="s">
        <v>33</v>
      </c>
      <c r="C15" s="75" t="s">
        <v>21</v>
      </c>
      <c r="D15" s="77">
        <f>1/150</f>
        <v>0.006666666667</v>
      </c>
      <c r="E15" s="75" t="s">
        <v>35</v>
      </c>
      <c r="F15" s="75" t="s">
        <v>473</v>
      </c>
      <c r="G15" s="75" t="s">
        <v>38</v>
      </c>
      <c r="H15" s="81">
        <v>25000.0</v>
      </c>
      <c r="I15" s="80"/>
      <c r="J15" s="39">
        <f t="shared" ref="J15:J26" si="2">D15*H15</f>
        <v>166.6666667</v>
      </c>
    </row>
    <row r="16">
      <c r="A16" s="75">
        <v>2.0</v>
      </c>
      <c r="B16" s="76" t="s">
        <v>39</v>
      </c>
      <c r="C16" s="75" t="s">
        <v>21</v>
      </c>
      <c r="D16" s="77">
        <f>4/200</f>
        <v>0.02</v>
      </c>
      <c r="E16" s="75" t="s">
        <v>40</v>
      </c>
      <c r="F16" s="75" t="s">
        <v>474</v>
      </c>
      <c r="G16" s="75" t="s">
        <v>38</v>
      </c>
      <c r="H16" s="81">
        <v>13000.0</v>
      </c>
      <c r="I16" s="80"/>
      <c r="J16" s="39">
        <f t="shared" si="2"/>
        <v>260</v>
      </c>
    </row>
    <row r="17">
      <c r="A17" s="75">
        <v>3.0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4.0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5.0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6.0</v>
      </c>
      <c r="B20" s="76" t="s">
        <v>126</v>
      </c>
      <c r="C20" s="75" t="s">
        <v>58</v>
      </c>
      <c r="D20" s="94">
        <f>D10+D11+D12</f>
        <v>0.3483333333</v>
      </c>
      <c r="E20" s="75" t="s">
        <v>47</v>
      </c>
      <c r="F20" s="75"/>
      <c r="G20" s="75" t="s">
        <v>68</v>
      </c>
      <c r="H20" s="75">
        <f>19500*1.5</f>
        <v>29250</v>
      </c>
      <c r="I20" s="80"/>
      <c r="J20" s="89">
        <f t="shared" si="2"/>
        <v>10188.75</v>
      </c>
    </row>
    <row r="21">
      <c r="A21" s="75">
        <v>7.0</v>
      </c>
      <c r="B21" s="76" t="s">
        <v>478</v>
      </c>
      <c r="C21" s="75" t="s">
        <v>479</v>
      </c>
      <c r="D21" s="94">
        <v>1.0</v>
      </c>
      <c r="E21" s="75" t="s">
        <v>148</v>
      </c>
      <c r="F21" s="75" t="s">
        <v>480</v>
      </c>
      <c r="G21" s="75" t="s">
        <v>481</v>
      </c>
      <c r="H21" s="81">
        <f>28000/250</f>
        <v>112</v>
      </c>
      <c r="I21" s="80"/>
      <c r="J21" s="95">
        <f t="shared" si="2"/>
        <v>112</v>
      </c>
    </row>
    <row r="22">
      <c r="A22" s="75">
        <v>8.0</v>
      </c>
      <c r="B22" s="76" t="s">
        <v>546</v>
      </c>
      <c r="C22" s="75" t="s">
        <v>423</v>
      </c>
      <c r="D22" s="77">
        <v>0.03</v>
      </c>
      <c r="E22" s="75" t="s">
        <v>148</v>
      </c>
      <c r="F22" s="75" t="s">
        <v>547</v>
      </c>
      <c r="G22" s="75" t="s">
        <v>537</v>
      </c>
      <c r="H22" s="134">
        <v>12000.0</v>
      </c>
      <c r="I22" s="80"/>
      <c r="J22" s="89">
        <f t="shared" si="2"/>
        <v>360</v>
      </c>
    </row>
    <row r="23">
      <c r="A23" s="75">
        <v>9.0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10.0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11.0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75">
        <v>12.0</v>
      </c>
      <c r="B26" s="76"/>
      <c r="C26" s="75"/>
      <c r="D26" s="83"/>
      <c r="E26" s="75"/>
      <c r="F26" s="75"/>
      <c r="G26" s="75"/>
      <c r="H26" s="81"/>
      <c r="I26" s="80"/>
      <c r="J26" s="39">
        <f t="shared" si="2"/>
        <v>0</v>
      </c>
    </row>
    <row r="27">
      <c r="A27" s="42" t="s">
        <v>63</v>
      </c>
      <c r="J27" s="42"/>
    </row>
    <row r="28">
      <c r="A28" s="43" t="s">
        <v>10</v>
      </c>
      <c r="B28" s="43" t="s">
        <v>64</v>
      </c>
      <c r="C28" s="84"/>
      <c r="D28" s="43" t="s">
        <v>13</v>
      </c>
      <c r="E28" s="43" t="s">
        <v>14</v>
      </c>
      <c r="F28" s="43" t="s">
        <v>32</v>
      </c>
      <c r="G28" s="43" t="s">
        <v>16</v>
      </c>
      <c r="H28" s="43" t="s">
        <v>65</v>
      </c>
      <c r="I28" s="85"/>
      <c r="J28" s="43" t="s">
        <v>19</v>
      </c>
    </row>
    <row r="29">
      <c r="A29" s="75">
        <v>1.0</v>
      </c>
      <c r="B29" s="75" t="s">
        <v>357</v>
      </c>
      <c r="C29" s="86"/>
      <c r="D29" s="87">
        <v>1.0</v>
      </c>
      <c r="E29" s="75" t="s">
        <v>47</v>
      </c>
      <c r="F29" s="86"/>
      <c r="G29" s="75" t="s">
        <v>68</v>
      </c>
      <c r="H29" s="81">
        <v>750.0</v>
      </c>
      <c r="I29" s="88"/>
      <c r="J29" s="89">
        <v>1750.0</v>
      </c>
    </row>
    <row r="30">
      <c r="A30" s="75">
        <v>2.0</v>
      </c>
      <c r="B30" s="75" t="s">
        <v>360</v>
      </c>
      <c r="C30" s="86"/>
      <c r="D30" s="87">
        <v>1.0</v>
      </c>
      <c r="E30" s="75" t="s">
        <v>47</v>
      </c>
      <c r="F30" s="86"/>
      <c r="G30" s="75" t="s">
        <v>68</v>
      </c>
      <c r="H30" s="81">
        <v>2000.0</v>
      </c>
      <c r="I30" s="88"/>
      <c r="J30" s="39">
        <f t="shared" ref="J30:J32" si="3">D30*H30</f>
        <v>2000</v>
      </c>
    </row>
    <row r="31">
      <c r="A31" s="75">
        <v>3.0</v>
      </c>
      <c r="B31" s="75" t="s">
        <v>362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  <row r="32">
      <c r="A32" s="75"/>
      <c r="B32" s="75"/>
      <c r="C32" s="86"/>
      <c r="D32" s="87"/>
      <c r="E32" s="75"/>
      <c r="F32" s="89"/>
      <c r="G32" s="75"/>
      <c r="H32" s="81"/>
      <c r="I32" s="88"/>
      <c r="J32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550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4400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2377.366667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13027.36667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535</v>
      </c>
      <c r="C10" s="75" t="s">
        <v>552</v>
      </c>
      <c r="D10" s="77">
        <f>1/3</f>
        <v>0.3333333333</v>
      </c>
      <c r="E10" s="75" t="s">
        <v>148</v>
      </c>
      <c r="F10" s="78" t="s">
        <v>554</v>
      </c>
      <c r="G10" s="75" t="s">
        <v>537</v>
      </c>
      <c r="H10" s="79">
        <v>12000.0</v>
      </c>
      <c r="I10" s="81"/>
      <c r="J10" s="39">
        <f t="shared" ref="J10:J11" si="1">D10*H10</f>
        <v>4000</v>
      </c>
    </row>
    <row r="11">
      <c r="A11" s="75">
        <v>2.0</v>
      </c>
      <c r="B11" s="129" t="s">
        <v>538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12000.0</v>
      </c>
      <c r="I11" s="81"/>
      <c r="J11" s="39">
        <f t="shared" si="1"/>
        <v>400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 t="s">
        <v>546</v>
      </c>
      <c r="C21" s="75" t="s">
        <v>423</v>
      </c>
      <c r="D21" s="77">
        <v>0.03</v>
      </c>
      <c r="E21" s="75" t="s">
        <v>148</v>
      </c>
      <c r="F21" s="75" t="s">
        <v>547</v>
      </c>
      <c r="G21" s="75" t="s">
        <v>537</v>
      </c>
      <c r="H21" s="134">
        <v>12000.0</v>
      </c>
      <c r="I21" s="80"/>
      <c r="J21" s="89">
        <f t="shared" si="2"/>
        <v>360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1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2500.0</v>
      </c>
      <c r="I29" s="88"/>
      <c r="J29" s="39">
        <f t="shared" si="3"/>
        <v>2500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549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5200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2377.366667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13827.36667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535</v>
      </c>
      <c r="C10" s="75" t="s">
        <v>552</v>
      </c>
      <c r="D10" s="77">
        <f>1/2.5</f>
        <v>0.4</v>
      </c>
      <c r="E10" s="75" t="s">
        <v>148</v>
      </c>
      <c r="F10" s="78" t="s">
        <v>553</v>
      </c>
      <c r="G10" s="75" t="s">
        <v>537</v>
      </c>
      <c r="H10" s="79">
        <v>12000.0</v>
      </c>
      <c r="I10" s="81"/>
      <c r="J10" s="39">
        <f t="shared" ref="J10:J11" si="1">D10*H10</f>
        <v>4800</v>
      </c>
    </row>
    <row r="11">
      <c r="A11" s="75">
        <v>2.0</v>
      </c>
      <c r="B11" s="129" t="s">
        <v>538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12000.0</v>
      </c>
      <c r="I11" s="81"/>
      <c r="J11" s="39">
        <f t="shared" si="1"/>
        <v>400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 t="s">
        <v>546</v>
      </c>
      <c r="C21" s="75" t="s">
        <v>423</v>
      </c>
      <c r="D21" s="77">
        <v>0.03</v>
      </c>
      <c r="E21" s="75" t="s">
        <v>148</v>
      </c>
      <c r="F21" s="75" t="s">
        <v>547</v>
      </c>
      <c r="G21" s="75" t="s">
        <v>537</v>
      </c>
      <c r="H21" s="134">
        <v>12000.0</v>
      </c>
      <c r="I21" s="80"/>
      <c r="J21" s="89">
        <f t="shared" si="2"/>
        <v>360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1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2500.0</v>
      </c>
      <c r="I29" s="88"/>
      <c r="J29" s="39">
        <f t="shared" si="3"/>
        <v>2500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551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4400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12102.36667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21752.36667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535</v>
      </c>
      <c r="C10" s="75" t="s">
        <v>552</v>
      </c>
      <c r="D10" s="77">
        <f>1/3</f>
        <v>0.3333333333</v>
      </c>
      <c r="E10" s="75" t="s">
        <v>148</v>
      </c>
      <c r="F10" s="78" t="s">
        <v>554</v>
      </c>
      <c r="G10" s="75" t="s">
        <v>537</v>
      </c>
      <c r="H10" s="79">
        <v>12000.0</v>
      </c>
      <c r="I10" s="81"/>
      <c r="J10" s="39">
        <f t="shared" ref="J10:J11" si="1">D10*H10</f>
        <v>4000</v>
      </c>
    </row>
    <row r="11">
      <c r="A11" s="75">
        <v>2.0</v>
      </c>
      <c r="B11" s="129" t="s">
        <v>538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12000.0</v>
      </c>
      <c r="I11" s="81"/>
      <c r="J11" s="39">
        <f t="shared" si="1"/>
        <v>400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126</v>
      </c>
      <c r="C19" s="75" t="s">
        <v>58</v>
      </c>
      <c r="D19" s="94">
        <f>D10+D11</f>
        <v>0.3666666667</v>
      </c>
      <c r="E19" s="75" t="s">
        <v>47</v>
      </c>
      <c r="F19" s="75"/>
      <c r="G19" s="75" t="s">
        <v>68</v>
      </c>
      <c r="H19" s="75">
        <f>19500*1.5</f>
        <v>29250</v>
      </c>
      <c r="I19" s="80"/>
      <c r="J19" s="89">
        <f t="shared" si="2"/>
        <v>10725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95">
        <f t="shared" si="2"/>
        <v>112</v>
      </c>
    </row>
    <row r="21">
      <c r="A21" s="75">
        <v>8.0</v>
      </c>
      <c r="B21" s="76" t="s">
        <v>546</v>
      </c>
      <c r="C21" s="75" t="s">
        <v>423</v>
      </c>
      <c r="D21" s="77">
        <v>0.03</v>
      </c>
      <c r="E21" s="75" t="s">
        <v>148</v>
      </c>
      <c r="F21" s="75" t="s">
        <v>547</v>
      </c>
      <c r="G21" s="75" t="s">
        <v>537</v>
      </c>
      <c r="H21" s="134">
        <v>12000.0</v>
      </c>
      <c r="I21" s="80"/>
      <c r="J21" s="89">
        <f t="shared" si="2"/>
        <v>360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3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2000.0</v>
      </c>
      <c r="I29" s="88"/>
      <c r="J29" s="39">
        <f t="shared" si="3"/>
        <v>2000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555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5200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14052.36667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25002.36667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535</v>
      </c>
      <c r="C10" s="75" t="s">
        <v>552</v>
      </c>
      <c r="D10" s="77">
        <f>1/2.5</f>
        <v>0.4</v>
      </c>
      <c r="E10" s="75" t="s">
        <v>148</v>
      </c>
      <c r="F10" s="78" t="s">
        <v>553</v>
      </c>
      <c r="G10" s="75" t="s">
        <v>537</v>
      </c>
      <c r="H10" s="79">
        <v>12000.0</v>
      </c>
      <c r="I10" s="81"/>
      <c r="J10" s="39">
        <f t="shared" ref="J10:J11" si="1">D10*H10</f>
        <v>4800</v>
      </c>
    </row>
    <row r="11">
      <c r="A11" s="75">
        <v>2.0</v>
      </c>
      <c r="B11" s="129" t="s">
        <v>538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12000.0</v>
      </c>
      <c r="I11" s="81"/>
      <c r="J11" s="39">
        <f t="shared" si="1"/>
        <v>400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126</v>
      </c>
      <c r="C19" s="75" t="s">
        <v>58</v>
      </c>
      <c r="D19" s="94">
        <f>D10+D11</f>
        <v>0.4333333333</v>
      </c>
      <c r="E19" s="75" t="s">
        <v>47</v>
      </c>
      <c r="F19" s="75"/>
      <c r="G19" s="75" t="s">
        <v>68</v>
      </c>
      <c r="H19" s="75">
        <f>19500*1.5</f>
        <v>29250</v>
      </c>
      <c r="I19" s="80"/>
      <c r="J19" s="89">
        <f t="shared" si="2"/>
        <v>12675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95">
        <f t="shared" si="2"/>
        <v>112</v>
      </c>
    </row>
    <row r="21">
      <c r="A21" s="75">
        <v>8.0</v>
      </c>
      <c r="B21" s="76" t="s">
        <v>546</v>
      </c>
      <c r="C21" s="75" t="s">
        <v>423</v>
      </c>
      <c r="D21" s="77">
        <v>0.03</v>
      </c>
      <c r="E21" s="75" t="s">
        <v>148</v>
      </c>
      <c r="F21" s="75" t="s">
        <v>547</v>
      </c>
      <c r="G21" s="75" t="s">
        <v>537</v>
      </c>
      <c r="H21" s="134">
        <v>12000.0</v>
      </c>
      <c r="I21" s="80"/>
      <c r="J21" s="89">
        <f t="shared" si="2"/>
        <v>360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3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2500.0</v>
      </c>
      <c r="I29" s="88"/>
      <c r="J29" s="39">
        <f t="shared" si="3"/>
        <v>2500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556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5200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2377.366667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13827.36667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535</v>
      </c>
      <c r="C10" s="75" t="s">
        <v>552</v>
      </c>
      <c r="D10" s="77">
        <f>1/2.5</f>
        <v>0.4</v>
      </c>
      <c r="E10" s="75" t="s">
        <v>148</v>
      </c>
      <c r="F10" s="78" t="s">
        <v>553</v>
      </c>
      <c r="G10" s="75" t="s">
        <v>537</v>
      </c>
      <c r="H10" s="79">
        <v>12000.0</v>
      </c>
      <c r="I10" s="81"/>
      <c r="J10" s="39">
        <f t="shared" ref="J10:J11" si="1">D10*H10</f>
        <v>4800</v>
      </c>
    </row>
    <row r="11">
      <c r="A11" s="75">
        <v>2.0</v>
      </c>
      <c r="B11" s="129" t="s">
        <v>538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12000.0</v>
      </c>
      <c r="I11" s="81"/>
      <c r="J11" s="39">
        <f t="shared" si="1"/>
        <v>400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 t="s">
        <v>546</v>
      </c>
      <c r="C21" s="75" t="s">
        <v>560</v>
      </c>
      <c r="D21" s="77">
        <v>0.03</v>
      </c>
      <c r="E21" s="75" t="s">
        <v>148</v>
      </c>
      <c r="F21" s="75" t="s">
        <v>547</v>
      </c>
      <c r="G21" s="75" t="s">
        <v>537</v>
      </c>
      <c r="H21" s="134">
        <v>12000.0</v>
      </c>
      <c r="I21" s="80"/>
      <c r="J21" s="89">
        <f t="shared" si="2"/>
        <v>360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1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2500.0</v>
      </c>
      <c r="I29" s="88"/>
      <c r="J29" s="39">
        <f t="shared" si="3"/>
        <v>2500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557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6400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2377.366667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15027.36667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535</v>
      </c>
      <c r="C10" s="75" t="s">
        <v>552</v>
      </c>
      <c r="D10" s="77">
        <f>1/2</f>
        <v>0.5</v>
      </c>
      <c r="E10" s="75" t="s">
        <v>148</v>
      </c>
      <c r="F10" s="78" t="s">
        <v>559</v>
      </c>
      <c r="G10" s="75" t="s">
        <v>537</v>
      </c>
      <c r="H10" s="79">
        <v>12000.0</v>
      </c>
      <c r="I10" s="81"/>
      <c r="J10" s="39">
        <f t="shared" ref="J10:J11" si="1">D10*H10</f>
        <v>6000</v>
      </c>
    </row>
    <row r="11">
      <c r="A11" s="75">
        <v>2.0</v>
      </c>
      <c r="B11" s="129" t="s">
        <v>538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12000.0</v>
      </c>
      <c r="I11" s="81"/>
      <c r="J11" s="39">
        <f t="shared" si="1"/>
        <v>400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 t="s">
        <v>546</v>
      </c>
      <c r="C21" s="75" t="s">
        <v>552</v>
      </c>
      <c r="D21" s="77">
        <v>0.03</v>
      </c>
      <c r="E21" s="75" t="s">
        <v>148</v>
      </c>
      <c r="F21" s="75" t="s">
        <v>547</v>
      </c>
      <c r="G21" s="75" t="s">
        <v>537</v>
      </c>
      <c r="H21" s="134">
        <v>12000.0</v>
      </c>
      <c r="I21" s="80"/>
      <c r="J21" s="89">
        <f t="shared" si="2"/>
        <v>360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1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2500.0</v>
      </c>
      <c r="I29" s="88"/>
      <c r="J29" s="39">
        <f t="shared" si="3"/>
        <v>2500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558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13885.7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3500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17785.7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75">
        <v>1.0</v>
      </c>
      <c r="B9" s="76" t="s">
        <v>535</v>
      </c>
      <c r="C9" s="75" t="s">
        <v>552</v>
      </c>
      <c r="D9" s="77">
        <f>1/2.5</f>
        <v>0.4</v>
      </c>
      <c r="E9" s="75" t="s">
        <v>148</v>
      </c>
      <c r="F9" s="78" t="s">
        <v>553</v>
      </c>
      <c r="G9" s="75" t="s">
        <v>537</v>
      </c>
      <c r="H9" s="79">
        <v>12000.0</v>
      </c>
      <c r="I9" s="81"/>
      <c r="J9" s="39">
        <f t="shared" ref="J9:J10" si="1">D9*H9</f>
        <v>4800</v>
      </c>
    </row>
    <row r="10">
      <c r="A10" s="75">
        <v>2.0</v>
      </c>
      <c r="B10" s="129" t="s">
        <v>538</v>
      </c>
      <c r="C10" s="75" t="s">
        <v>552</v>
      </c>
      <c r="D10" s="77">
        <f>0.4/12</f>
        <v>0.03333333333</v>
      </c>
      <c r="E10" s="75" t="s">
        <v>148</v>
      </c>
      <c r="F10" s="78" t="s">
        <v>539</v>
      </c>
      <c r="G10" s="75" t="s">
        <v>537</v>
      </c>
      <c r="H10" s="79">
        <v>12000.0</v>
      </c>
      <c r="I10" s="81"/>
      <c r="J10" s="39">
        <f t="shared" si="1"/>
        <v>400</v>
      </c>
    </row>
    <row r="11">
      <c r="A11" s="40" t="s">
        <v>31</v>
      </c>
      <c r="J11" s="40"/>
    </row>
    <row r="12">
      <c r="A12" s="41" t="s">
        <v>10</v>
      </c>
      <c r="B12" s="41" t="s">
        <v>11</v>
      </c>
      <c r="C12" s="41" t="s">
        <v>12</v>
      </c>
      <c r="D12" s="41" t="s">
        <v>13</v>
      </c>
      <c r="E12" s="41" t="s">
        <v>14</v>
      </c>
      <c r="F12" s="41" t="s">
        <v>32</v>
      </c>
      <c r="G12" s="41" t="s">
        <v>16</v>
      </c>
      <c r="H12" s="41" t="s">
        <v>17</v>
      </c>
      <c r="I12" s="41" t="s">
        <v>18</v>
      </c>
      <c r="J12" s="41" t="s">
        <v>19</v>
      </c>
    </row>
    <row r="13">
      <c r="A13" s="75">
        <v>1.0</v>
      </c>
      <c r="B13" s="76" t="s">
        <v>33</v>
      </c>
      <c r="C13" s="75" t="s">
        <v>21</v>
      </c>
      <c r="D13" s="77">
        <f>1/150</f>
        <v>0.006666666667</v>
      </c>
      <c r="E13" s="75" t="s">
        <v>35</v>
      </c>
      <c r="F13" s="75" t="s">
        <v>473</v>
      </c>
      <c r="G13" s="75" t="s">
        <v>38</v>
      </c>
      <c r="H13" s="81">
        <v>25000.0</v>
      </c>
      <c r="I13" s="80"/>
      <c r="J13" s="39">
        <f t="shared" ref="J13:J24" si="2">D13*H13</f>
        <v>166.6666667</v>
      </c>
    </row>
    <row r="14">
      <c r="A14" s="75">
        <v>2.0</v>
      </c>
      <c r="B14" s="76" t="s">
        <v>39</v>
      </c>
      <c r="C14" s="75" t="s">
        <v>21</v>
      </c>
      <c r="D14" s="77">
        <f>4/200</f>
        <v>0.02</v>
      </c>
      <c r="E14" s="75" t="s">
        <v>40</v>
      </c>
      <c r="F14" s="75" t="s">
        <v>474</v>
      </c>
      <c r="G14" s="75" t="s">
        <v>38</v>
      </c>
      <c r="H14" s="81">
        <v>13000.0</v>
      </c>
      <c r="I14" s="80"/>
      <c r="J14" s="39">
        <f t="shared" si="2"/>
        <v>260</v>
      </c>
    </row>
    <row r="15">
      <c r="A15" s="75">
        <v>3.0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4.0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5.0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6.0</v>
      </c>
      <c r="B18" s="76" t="s">
        <v>126</v>
      </c>
      <c r="C18" s="75" t="s">
        <v>58</v>
      </c>
      <c r="D18" s="94">
        <f>D9+D10</f>
        <v>0.4333333333</v>
      </c>
      <c r="E18" s="75" t="s">
        <v>47</v>
      </c>
      <c r="F18" s="75"/>
      <c r="G18" s="75" t="s">
        <v>68</v>
      </c>
      <c r="H18" s="75">
        <f>19500*1.5</f>
        <v>29250</v>
      </c>
      <c r="I18" s="80"/>
      <c r="J18" s="89">
        <f t="shared" si="2"/>
        <v>12675</v>
      </c>
    </row>
    <row r="19">
      <c r="A19" s="75">
        <v>7.0</v>
      </c>
      <c r="B19" s="76" t="s">
        <v>478</v>
      </c>
      <c r="C19" s="75" t="s">
        <v>479</v>
      </c>
      <c r="D19" s="94">
        <v>1.0</v>
      </c>
      <c r="E19" s="75" t="s">
        <v>148</v>
      </c>
      <c r="F19" s="75" t="s">
        <v>480</v>
      </c>
      <c r="G19" s="75" t="s">
        <v>481</v>
      </c>
      <c r="H19" s="81">
        <f>28000/250</f>
        <v>112</v>
      </c>
      <c r="I19" s="80"/>
      <c r="J19" s="95">
        <f t="shared" si="2"/>
        <v>112</v>
      </c>
    </row>
    <row r="20">
      <c r="A20" s="75">
        <v>8.0</v>
      </c>
      <c r="B20" s="76" t="s">
        <v>546</v>
      </c>
      <c r="C20" s="75" t="s">
        <v>552</v>
      </c>
      <c r="D20" s="77">
        <v>0.03</v>
      </c>
      <c r="E20" s="75" t="s">
        <v>148</v>
      </c>
      <c r="F20" s="75" t="s">
        <v>547</v>
      </c>
      <c r="G20" s="75" t="s">
        <v>537</v>
      </c>
      <c r="H20" s="134">
        <v>12000.0</v>
      </c>
      <c r="I20" s="80"/>
      <c r="J20" s="89">
        <f t="shared" si="2"/>
        <v>360</v>
      </c>
    </row>
    <row r="21">
      <c r="A21" s="75">
        <v>9.0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10.0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11.0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12.0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42" t="s">
        <v>63</v>
      </c>
      <c r="J25" s="42"/>
    </row>
    <row r="26">
      <c r="A26" s="43" t="s">
        <v>10</v>
      </c>
      <c r="B26" s="43" t="s">
        <v>64</v>
      </c>
      <c r="C26" s="84"/>
      <c r="D26" s="43" t="s">
        <v>13</v>
      </c>
      <c r="E26" s="43" t="s">
        <v>14</v>
      </c>
      <c r="F26" s="43" t="s">
        <v>32</v>
      </c>
      <c r="G26" s="43" t="s">
        <v>16</v>
      </c>
      <c r="H26" s="43" t="s">
        <v>65</v>
      </c>
      <c r="I26" s="85"/>
      <c r="J26" s="43" t="s">
        <v>19</v>
      </c>
    </row>
    <row r="27">
      <c r="A27" s="75">
        <v>1.0</v>
      </c>
      <c r="B27" s="75" t="s">
        <v>357</v>
      </c>
      <c r="C27" s="86"/>
      <c r="D27" s="87">
        <v>1.0</v>
      </c>
      <c r="E27" s="75" t="s">
        <v>47</v>
      </c>
      <c r="F27" s="86"/>
      <c r="G27" s="75" t="s">
        <v>68</v>
      </c>
      <c r="H27" s="81">
        <v>1750.0</v>
      </c>
      <c r="I27" s="88"/>
      <c r="J27" s="39">
        <f t="shared" ref="J27:J29" si="3">D27*H27</f>
        <v>1750</v>
      </c>
    </row>
    <row r="28">
      <c r="A28" s="75">
        <v>2.0</v>
      </c>
      <c r="B28" s="75" t="s">
        <v>360</v>
      </c>
      <c r="C28" s="86"/>
      <c r="D28" s="87">
        <v>1.0</v>
      </c>
      <c r="E28" s="75" t="s">
        <v>47</v>
      </c>
      <c r="F28" s="86"/>
      <c r="G28" s="75" t="s">
        <v>68</v>
      </c>
      <c r="H28" s="81">
        <v>2000.0</v>
      </c>
      <c r="I28" s="88"/>
      <c r="J28" s="39">
        <f t="shared" si="3"/>
        <v>2000</v>
      </c>
    </row>
    <row r="29">
      <c r="A29" s="75">
        <v>3.0</v>
      </c>
      <c r="B29" s="75" t="s">
        <v>362</v>
      </c>
      <c r="C29" s="86"/>
      <c r="D29" s="87">
        <v>1.0</v>
      </c>
      <c r="E29" s="75" t="s">
        <v>47</v>
      </c>
      <c r="F29" s="89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/>
      <c r="B30" s="75"/>
      <c r="C30" s="86"/>
      <c r="D30" s="87"/>
      <c r="E30" s="75"/>
      <c r="F30" s="89"/>
      <c r="G30" s="75"/>
      <c r="H30" s="81"/>
      <c r="I30" s="88"/>
      <c r="J30" s="89"/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1:I11"/>
    <mergeCell ref="A25:I25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561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16810.7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3500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20710.7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75">
        <v>1.0</v>
      </c>
      <c r="B9" s="76" t="s">
        <v>535</v>
      </c>
      <c r="C9" s="75" t="s">
        <v>552</v>
      </c>
      <c r="D9" s="77">
        <f>1/2</f>
        <v>0.5</v>
      </c>
      <c r="E9" s="75" t="s">
        <v>148</v>
      </c>
      <c r="F9" s="78" t="s">
        <v>559</v>
      </c>
      <c r="G9" s="75" t="s">
        <v>537</v>
      </c>
      <c r="H9" s="79">
        <v>12000.0</v>
      </c>
      <c r="I9" s="81"/>
      <c r="J9" s="39">
        <f t="shared" ref="J9:J10" si="1">D9*H9</f>
        <v>6000</v>
      </c>
    </row>
    <row r="10">
      <c r="A10" s="75">
        <v>2.0</v>
      </c>
      <c r="B10" s="129" t="s">
        <v>538</v>
      </c>
      <c r="C10" s="75" t="s">
        <v>552</v>
      </c>
      <c r="D10" s="77">
        <f>0.4/12</f>
        <v>0.03333333333</v>
      </c>
      <c r="E10" s="75" t="s">
        <v>148</v>
      </c>
      <c r="F10" s="78" t="s">
        <v>539</v>
      </c>
      <c r="G10" s="75" t="s">
        <v>537</v>
      </c>
      <c r="H10" s="79">
        <v>12000.0</v>
      </c>
      <c r="I10" s="81"/>
      <c r="J10" s="39">
        <f t="shared" si="1"/>
        <v>400</v>
      </c>
    </row>
    <row r="11">
      <c r="A11" s="40" t="s">
        <v>31</v>
      </c>
      <c r="J11" s="40"/>
    </row>
    <row r="12">
      <c r="A12" s="41" t="s">
        <v>10</v>
      </c>
      <c r="B12" s="41" t="s">
        <v>11</v>
      </c>
      <c r="C12" s="41" t="s">
        <v>12</v>
      </c>
      <c r="D12" s="41" t="s">
        <v>13</v>
      </c>
      <c r="E12" s="41" t="s">
        <v>14</v>
      </c>
      <c r="F12" s="41" t="s">
        <v>32</v>
      </c>
      <c r="G12" s="41" t="s">
        <v>16</v>
      </c>
      <c r="H12" s="41" t="s">
        <v>17</v>
      </c>
      <c r="I12" s="41" t="s">
        <v>18</v>
      </c>
      <c r="J12" s="41" t="s">
        <v>19</v>
      </c>
    </row>
    <row r="13">
      <c r="A13" s="75">
        <v>1.0</v>
      </c>
      <c r="B13" s="76" t="s">
        <v>33</v>
      </c>
      <c r="C13" s="75" t="s">
        <v>21</v>
      </c>
      <c r="D13" s="77">
        <f>1/150</f>
        <v>0.006666666667</v>
      </c>
      <c r="E13" s="75" t="s">
        <v>35</v>
      </c>
      <c r="F13" s="75" t="s">
        <v>473</v>
      </c>
      <c r="G13" s="75" t="s">
        <v>38</v>
      </c>
      <c r="H13" s="81">
        <v>25000.0</v>
      </c>
      <c r="I13" s="80"/>
      <c r="J13" s="39">
        <f t="shared" ref="J13:J24" si="2">D13*H13</f>
        <v>166.6666667</v>
      </c>
    </row>
    <row r="14">
      <c r="A14" s="75">
        <v>2.0</v>
      </c>
      <c r="B14" s="76" t="s">
        <v>39</v>
      </c>
      <c r="C14" s="75" t="s">
        <v>21</v>
      </c>
      <c r="D14" s="77">
        <f>4/200</f>
        <v>0.02</v>
      </c>
      <c r="E14" s="75" t="s">
        <v>40</v>
      </c>
      <c r="F14" s="75" t="s">
        <v>474</v>
      </c>
      <c r="G14" s="75" t="s">
        <v>38</v>
      </c>
      <c r="H14" s="81">
        <v>13000.0</v>
      </c>
      <c r="I14" s="80"/>
      <c r="J14" s="39">
        <f t="shared" si="2"/>
        <v>260</v>
      </c>
    </row>
    <row r="15">
      <c r="A15" s="75">
        <v>3.0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4.0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5.0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6.0</v>
      </c>
      <c r="B18" s="76" t="s">
        <v>126</v>
      </c>
      <c r="C18" s="75" t="s">
        <v>58</v>
      </c>
      <c r="D18" s="94">
        <f>D9+D10</f>
        <v>0.5333333333</v>
      </c>
      <c r="E18" s="75" t="s">
        <v>47</v>
      </c>
      <c r="F18" s="75"/>
      <c r="G18" s="75" t="s">
        <v>68</v>
      </c>
      <c r="H18" s="75">
        <f>19500*1.5</f>
        <v>29250</v>
      </c>
      <c r="I18" s="80"/>
      <c r="J18" s="89">
        <f t="shared" si="2"/>
        <v>15600</v>
      </c>
    </row>
    <row r="19">
      <c r="A19" s="75">
        <v>7.0</v>
      </c>
      <c r="B19" s="76" t="s">
        <v>478</v>
      </c>
      <c r="C19" s="75" t="s">
        <v>479</v>
      </c>
      <c r="D19" s="94">
        <v>1.0</v>
      </c>
      <c r="E19" s="75" t="s">
        <v>148</v>
      </c>
      <c r="F19" s="75" t="s">
        <v>480</v>
      </c>
      <c r="G19" s="75" t="s">
        <v>481</v>
      </c>
      <c r="H19" s="81">
        <f>28000/250</f>
        <v>112</v>
      </c>
      <c r="I19" s="80"/>
      <c r="J19" s="95">
        <f t="shared" si="2"/>
        <v>112</v>
      </c>
    </row>
    <row r="20">
      <c r="A20" s="75">
        <v>8.0</v>
      </c>
      <c r="B20" s="76" t="s">
        <v>546</v>
      </c>
      <c r="C20" s="75" t="s">
        <v>552</v>
      </c>
      <c r="D20" s="77">
        <v>0.03</v>
      </c>
      <c r="E20" s="75" t="s">
        <v>148</v>
      </c>
      <c r="F20" s="75" t="s">
        <v>547</v>
      </c>
      <c r="G20" s="75" t="s">
        <v>537</v>
      </c>
      <c r="H20" s="134">
        <v>12000.0</v>
      </c>
      <c r="I20" s="80"/>
      <c r="J20" s="89">
        <f t="shared" si="2"/>
        <v>360</v>
      </c>
    </row>
    <row r="21">
      <c r="A21" s="75">
        <v>9.0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10.0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11.0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12.0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42" t="s">
        <v>63</v>
      </c>
      <c r="J25" s="42"/>
    </row>
    <row r="26">
      <c r="A26" s="43" t="s">
        <v>10</v>
      </c>
      <c r="B26" s="43" t="s">
        <v>64</v>
      </c>
      <c r="C26" s="84"/>
      <c r="D26" s="43" t="s">
        <v>13</v>
      </c>
      <c r="E26" s="43" t="s">
        <v>14</v>
      </c>
      <c r="F26" s="43" t="s">
        <v>32</v>
      </c>
      <c r="G26" s="43" t="s">
        <v>16</v>
      </c>
      <c r="H26" s="43" t="s">
        <v>65</v>
      </c>
      <c r="I26" s="85"/>
      <c r="J26" s="43" t="s">
        <v>19</v>
      </c>
    </row>
    <row r="27">
      <c r="A27" s="75">
        <v>1.0</v>
      </c>
      <c r="B27" s="75" t="s">
        <v>357</v>
      </c>
      <c r="C27" s="86"/>
      <c r="D27" s="87">
        <v>1.0</v>
      </c>
      <c r="E27" s="75" t="s">
        <v>47</v>
      </c>
      <c r="F27" s="86"/>
      <c r="G27" s="75" t="s">
        <v>68</v>
      </c>
      <c r="H27" s="81">
        <v>1750.0</v>
      </c>
      <c r="I27" s="88"/>
      <c r="J27" s="39">
        <f t="shared" ref="J27:J29" si="3">D27*H27</f>
        <v>1750</v>
      </c>
    </row>
    <row r="28">
      <c r="A28" s="75">
        <v>2.0</v>
      </c>
      <c r="B28" s="75" t="s">
        <v>360</v>
      </c>
      <c r="C28" s="86"/>
      <c r="D28" s="87">
        <v>1.0</v>
      </c>
      <c r="E28" s="75" t="s">
        <v>47</v>
      </c>
      <c r="F28" s="86"/>
      <c r="G28" s="75" t="s">
        <v>68</v>
      </c>
      <c r="H28" s="81">
        <v>2000.0</v>
      </c>
      <c r="I28" s="88"/>
      <c r="J28" s="39">
        <f t="shared" si="3"/>
        <v>2000</v>
      </c>
    </row>
    <row r="29">
      <c r="A29" s="75">
        <v>3.0</v>
      </c>
      <c r="B29" s="75" t="s">
        <v>362</v>
      </c>
      <c r="C29" s="86"/>
      <c r="D29" s="87">
        <v>1.0</v>
      </c>
      <c r="E29" s="75" t="s">
        <v>47</v>
      </c>
      <c r="F29" s="89"/>
      <c r="G29" s="75" t="s">
        <v>68</v>
      </c>
      <c r="H29" s="81">
        <v>1500.0</v>
      </c>
      <c r="I29" s="88"/>
      <c r="J29" s="39">
        <f t="shared" si="3"/>
        <v>1500</v>
      </c>
    </row>
    <row r="30">
      <c r="A30" s="75"/>
      <c r="B30" s="75"/>
      <c r="C30" s="86"/>
      <c r="D30" s="87"/>
      <c r="E30" s="75"/>
      <c r="F30" s="89"/>
      <c r="G30" s="75"/>
      <c r="H30" s="81"/>
      <c r="I30" s="88"/>
      <c r="J30" s="89"/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1:I11"/>
    <mergeCell ref="A25:I25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562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SUM(J10:J12)</f>
        <v>5380.416667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SUM(J15:J22)</f>
        <v>2572.366667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SUM(J29:J32)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14202.78333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563</v>
      </c>
      <c r="C10" s="75" t="s">
        <v>552</v>
      </c>
      <c r="D10" s="77">
        <f>1/5</f>
        <v>0.2</v>
      </c>
      <c r="E10" s="75" t="s">
        <v>148</v>
      </c>
      <c r="F10" s="78" t="s">
        <v>536</v>
      </c>
      <c r="G10" s="75" t="s">
        <v>537</v>
      </c>
      <c r="H10" s="79">
        <v>18500.0</v>
      </c>
      <c r="I10" s="81"/>
      <c r="J10" s="39">
        <f t="shared" ref="J10:J12" si="1">D10*H10</f>
        <v>3700</v>
      </c>
    </row>
    <row r="11">
      <c r="A11" s="75">
        <v>2.0</v>
      </c>
      <c r="B11" s="129" t="s">
        <v>566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18500.0</v>
      </c>
      <c r="I11" s="81"/>
      <c r="J11" s="39">
        <f t="shared" si="1"/>
        <v>616.6666667</v>
      </c>
    </row>
    <row r="12">
      <c r="A12" s="19">
        <v>3.0</v>
      </c>
      <c r="B12" s="76" t="s">
        <v>567</v>
      </c>
      <c r="C12" s="75" t="s">
        <v>552</v>
      </c>
      <c r="D12" s="135">
        <f>1.15/20</f>
        <v>0.0575</v>
      </c>
      <c r="E12" s="101" t="s">
        <v>128</v>
      </c>
      <c r="F12" s="44" t="s">
        <v>545</v>
      </c>
      <c r="G12" s="19" t="s">
        <v>537</v>
      </c>
      <c r="H12" s="55">
        <v>18500.0</v>
      </c>
      <c r="I12" s="20"/>
      <c r="J12" s="136">
        <f t="shared" si="1"/>
        <v>1063.75</v>
      </c>
    </row>
    <row r="13">
      <c r="A13" s="40" t="s">
        <v>31</v>
      </c>
      <c r="J13" s="40"/>
    </row>
    <row r="14">
      <c r="A14" s="41" t="s">
        <v>10</v>
      </c>
      <c r="B14" s="41" t="s">
        <v>11</v>
      </c>
      <c r="C14" s="41" t="s">
        <v>12</v>
      </c>
      <c r="D14" s="41" t="s">
        <v>13</v>
      </c>
      <c r="E14" s="41" t="s">
        <v>14</v>
      </c>
      <c r="F14" s="41" t="s">
        <v>32</v>
      </c>
      <c r="G14" s="41" t="s">
        <v>16</v>
      </c>
      <c r="H14" s="41" t="s">
        <v>17</v>
      </c>
      <c r="I14" s="41" t="s">
        <v>18</v>
      </c>
      <c r="J14" s="41" t="s">
        <v>19</v>
      </c>
    </row>
    <row r="15">
      <c r="A15" s="75">
        <v>1.0</v>
      </c>
      <c r="B15" s="76" t="s">
        <v>33</v>
      </c>
      <c r="C15" s="75" t="s">
        <v>21</v>
      </c>
      <c r="D15" s="77">
        <f>1/150</f>
        <v>0.006666666667</v>
      </c>
      <c r="E15" s="75" t="s">
        <v>35</v>
      </c>
      <c r="F15" s="75" t="s">
        <v>473</v>
      </c>
      <c r="G15" s="75" t="s">
        <v>38</v>
      </c>
      <c r="H15" s="81">
        <v>25000.0</v>
      </c>
      <c r="I15" s="80"/>
      <c r="J15" s="39">
        <f t="shared" ref="J15:J26" si="2">D15*H15</f>
        <v>166.6666667</v>
      </c>
    </row>
    <row r="16">
      <c r="A16" s="75">
        <v>2.0</v>
      </c>
      <c r="B16" s="76" t="s">
        <v>39</v>
      </c>
      <c r="C16" s="75" t="s">
        <v>21</v>
      </c>
      <c r="D16" s="77">
        <f>4/200</f>
        <v>0.02</v>
      </c>
      <c r="E16" s="75" t="s">
        <v>40</v>
      </c>
      <c r="F16" s="75" t="s">
        <v>474</v>
      </c>
      <c r="G16" s="75" t="s">
        <v>38</v>
      </c>
      <c r="H16" s="81">
        <v>13000.0</v>
      </c>
      <c r="I16" s="80"/>
      <c r="J16" s="39">
        <f t="shared" si="2"/>
        <v>260</v>
      </c>
    </row>
    <row r="17">
      <c r="A17" s="75">
        <v>3.0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4.0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5.0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6.0</v>
      </c>
      <c r="B20" s="76" t="s">
        <v>476</v>
      </c>
      <c r="C20" s="75" t="s">
        <v>352</v>
      </c>
      <c r="D20" s="94">
        <v>1.0</v>
      </c>
      <c r="E20" s="75" t="s">
        <v>47</v>
      </c>
      <c r="F20" s="75"/>
      <c r="G20" s="75" t="s">
        <v>68</v>
      </c>
      <c r="H20" s="75">
        <v>1000.0</v>
      </c>
      <c r="I20" s="80"/>
      <c r="J20" s="89">
        <f t="shared" si="2"/>
        <v>1000</v>
      </c>
    </row>
    <row r="21">
      <c r="A21" s="75">
        <v>7.0</v>
      </c>
      <c r="B21" s="76" t="s">
        <v>478</v>
      </c>
      <c r="C21" s="75" t="s">
        <v>479</v>
      </c>
      <c r="D21" s="94">
        <v>1.0</v>
      </c>
      <c r="E21" s="75" t="s">
        <v>148</v>
      </c>
      <c r="F21" s="75" t="s">
        <v>480</v>
      </c>
      <c r="G21" s="75" t="s">
        <v>481</v>
      </c>
      <c r="H21" s="81">
        <f>28000/250</f>
        <v>112</v>
      </c>
      <c r="I21" s="80"/>
      <c r="J21" s="39">
        <f t="shared" si="2"/>
        <v>112</v>
      </c>
    </row>
    <row r="22">
      <c r="A22" s="75">
        <v>8.0</v>
      </c>
      <c r="B22" s="76" t="s">
        <v>568</v>
      </c>
      <c r="C22" s="75" t="s">
        <v>552</v>
      </c>
      <c r="D22" s="77">
        <v>0.03</v>
      </c>
      <c r="E22" s="75" t="s">
        <v>148</v>
      </c>
      <c r="F22" s="75" t="s">
        <v>547</v>
      </c>
      <c r="G22" s="75" t="s">
        <v>537</v>
      </c>
      <c r="H22" s="134">
        <v>18500.0</v>
      </c>
      <c r="I22" s="80"/>
      <c r="J22" s="89">
        <f t="shared" si="2"/>
        <v>555</v>
      </c>
    </row>
    <row r="23">
      <c r="A23" s="75">
        <v>9.0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10.0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11.0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75">
        <v>12.0</v>
      </c>
      <c r="B26" s="76"/>
      <c r="C26" s="75"/>
      <c r="D26" s="83"/>
      <c r="E26" s="75"/>
      <c r="F26" s="75"/>
      <c r="G26" s="75"/>
      <c r="H26" s="81"/>
      <c r="I26" s="80"/>
      <c r="J26" s="39">
        <f t="shared" si="2"/>
        <v>0</v>
      </c>
    </row>
    <row r="27">
      <c r="A27" s="42" t="s">
        <v>63</v>
      </c>
      <c r="J27" s="42"/>
    </row>
    <row r="28">
      <c r="A28" s="43" t="s">
        <v>10</v>
      </c>
      <c r="B28" s="43" t="s">
        <v>64</v>
      </c>
      <c r="C28" s="84"/>
      <c r="D28" s="43" t="s">
        <v>13</v>
      </c>
      <c r="E28" s="43" t="s">
        <v>14</v>
      </c>
      <c r="F28" s="43" t="s">
        <v>32</v>
      </c>
      <c r="G28" s="43" t="s">
        <v>16</v>
      </c>
      <c r="H28" s="43" t="s">
        <v>65</v>
      </c>
      <c r="I28" s="85"/>
      <c r="J28" s="43" t="s">
        <v>19</v>
      </c>
    </row>
    <row r="29">
      <c r="A29" s="75">
        <v>1.0</v>
      </c>
      <c r="B29" s="75" t="s">
        <v>357</v>
      </c>
      <c r="C29" s="86"/>
      <c r="D29" s="87">
        <v>1.0</v>
      </c>
      <c r="E29" s="75" t="s">
        <v>47</v>
      </c>
      <c r="F29" s="86"/>
      <c r="G29" s="75" t="s">
        <v>68</v>
      </c>
      <c r="H29" s="81">
        <v>750.0</v>
      </c>
      <c r="I29" s="88"/>
      <c r="J29" s="39">
        <f t="shared" ref="J29:J32" si="3">D29*H29</f>
        <v>750</v>
      </c>
    </row>
    <row r="30">
      <c r="A30" s="75">
        <v>2.0</v>
      </c>
      <c r="B30" s="75" t="s">
        <v>360</v>
      </c>
      <c r="C30" s="86"/>
      <c r="D30" s="87">
        <v>1.0</v>
      </c>
      <c r="E30" s="75" t="s">
        <v>47</v>
      </c>
      <c r="F30" s="86"/>
      <c r="G30" s="75" t="s">
        <v>68</v>
      </c>
      <c r="H30" s="81">
        <v>2500.0</v>
      </c>
      <c r="I30" s="88"/>
      <c r="J30" s="39">
        <f t="shared" si="3"/>
        <v>2500</v>
      </c>
    </row>
    <row r="31">
      <c r="A31" s="75">
        <v>3.0</v>
      </c>
      <c r="B31" s="75" t="s">
        <v>362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  <row r="32">
      <c r="A32" s="75">
        <v>4.0</v>
      </c>
      <c r="B32" s="75" t="s">
        <v>476</v>
      </c>
      <c r="C32" s="86"/>
      <c r="D32" s="87">
        <v>1.0</v>
      </c>
      <c r="E32" s="75" t="s">
        <v>47</v>
      </c>
      <c r="F32" s="89"/>
      <c r="G32" s="75" t="s">
        <v>68</v>
      </c>
      <c r="H32" s="81">
        <v>1500.0</v>
      </c>
      <c r="I32" s="88"/>
      <c r="J32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564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5241.666667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SUM(J15:J22)</f>
        <v>2572.366667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SUM(J29:J32)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14064.03333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563</v>
      </c>
      <c r="C10" s="75" t="s">
        <v>552</v>
      </c>
      <c r="D10" s="77">
        <f>1/4</f>
        <v>0.25</v>
      </c>
      <c r="E10" s="75" t="s">
        <v>148</v>
      </c>
      <c r="F10" s="78" t="s">
        <v>542</v>
      </c>
      <c r="G10" s="75" t="s">
        <v>537</v>
      </c>
      <c r="H10" s="79">
        <v>18500.0</v>
      </c>
      <c r="I10" s="81"/>
      <c r="J10" s="39">
        <f t="shared" ref="J10:J12" si="1">D10*H10</f>
        <v>4625</v>
      </c>
    </row>
    <row r="11">
      <c r="A11" s="75">
        <v>2.0</v>
      </c>
      <c r="B11" s="129" t="s">
        <v>566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18500.0</v>
      </c>
      <c r="I11" s="81"/>
      <c r="J11" s="39">
        <f t="shared" si="1"/>
        <v>616.6666667</v>
      </c>
    </row>
    <row r="12">
      <c r="A12" s="19">
        <v>3.0</v>
      </c>
      <c r="B12" s="76" t="s">
        <v>567</v>
      </c>
      <c r="C12" s="75" t="s">
        <v>552</v>
      </c>
      <c r="D12" s="135">
        <f>1.3/20</f>
        <v>0.065</v>
      </c>
      <c r="E12" s="101" t="s">
        <v>128</v>
      </c>
      <c r="F12" s="55" t="s">
        <v>544</v>
      </c>
      <c r="G12" s="19" t="s">
        <v>537</v>
      </c>
      <c r="H12" s="55">
        <v>18500.0</v>
      </c>
      <c r="I12" s="20"/>
      <c r="J12" s="136">
        <f t="shared" si="1"/>
        <v>1202.5</v>
      </c>
    </row>
    <row r="13">
      <c r="A13" s="40" t="s">
        <v>31</v>
      </c>
      <c r="J13" s="40"/>
    </row>
    <row r="14">
      <c r="A14" s="41" t="s">
        <v>10</v>
      </c>
      <c r="B14" s="41" t="s">
        <v>11</v>
      </c>
      <c r="C14" s="41" t="s">
        <v>12</v>
      </c>
      <c r="D14" s="41" t="s">
        <v>13</v>
      </c>
      <c r="E14" s="41" t="s">
        <v>14</v>
      </c>
      <c r="F14" s="41" t="s">
        <v>32</v>
      </c>
      <c r="G14" s="41" t="s">
        <v>16</v>
      </c>
      <c r="H14" s="41" t="s">
        <v>17</v>
      </c>
      <c r="I14" s="41" t="s">
        <v>18</v>
      </c>
      <c r="J14" s="41" t="s">
        <v>19</v>
      </c>
    </row>
    <row r="15">
      <c r="A15" s="75">
        <v>1.0</v>
      </c>
      <c r="B15" s="76" t="s">
        <v>33</v>
      </c>
      <c r="C15" s="75" t="s">
        <v>21</v>
      </c>
      <c r="D15" s="77">
        <f>1/150</f>
        <v>0.006666666667</v>
      </c>
      <c r="E15" s="75" t="s">
        <v>35</v>
      </c>
      <c r="F15" s="75" t="s">
        <v>473</v>
      </c>
      <c r="G15" s="75" t="s">
        <v>38</v>
      </c>
      <c r="H15" s="81">
        <v>25000.0</v>
      </c>
      <c r="I15" s="80"/>
      <c r="J15" s="39">
        <f t="shared" ref="J15:J26" si="2">D15*H15</f>
        <v>166.6666667</v>
      </c>
    </row>
    <row r="16">
      <c r="A16" s="75">
        <v>2.0</v>
      </c>
      <c r="B16" s="76" t="s">
        <v>39</v>
      </c>
      <c r="C16" s="75" t="s">
        <v>21</v>
      </c>
      <c r="D16" s="77">
        <f>4/200</f>
        <v>0.02</v>
      </c>
      <c r="E16" s="75" t="s">
        <v>40</v>
      </c>
      <c r="F16" s="75" t="s">
        <v>474</v>
      </c>
      <c r="G16" s="75" t="s">
        <v>38</v>
      </c>
      <c r="H16" s="81">
        <v>13000.0</v>
      </c>
      <c r="I16" s="80"/>
      <c r="J16" s="39">
        <f t="shared" si="2"/>
        <v>260</v>
      </c>
    </row>
    <row r="17">
      <c r="A17" s="75">
        <v>3.0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4.0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5.0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6.0</v>
      </c>
      <c r="B20" s="76" t="s">
        <v>476</v>
      </c>
      <c r="C20" s="75" t="s">
        <v>352</v>
      </c>
      <c r="D20" s="94">
        <v>1.0</v>
      </c>
      <c r="E20" s="75" t="s">
        <v>47</v>
      </c>
      <c r="F20" s="75"/>
      <c r="G20" s="75" t="s">
        <v>68</v>
      </c>
      <c r="H20" s="75">
        <v>1000.0</v>
      </c>
      <c r="I20" s="80"/>
      <c r="J20" s="89">
        <f t="shared" si="2"/>
        <v>1000</v>
      </c>
    </row>
    <row r="21">
      <c r="A21" s="75">
        <v>7.0</v>
      </c>
      <c r="B21" s="76" t="s">
        <v>478</v>
      </c>
      <c r="C21" s="75" t="s">
        <v>479</v>
      </c>
      <c r="D21" s="94">
        <v>1.0</v>
      </c>
      <c r="E21" s="75" t="s">
        <v>148</v>
      </c>
      <c r="F21" s="75" t="s">
        <v>480</v>
      </c>
      <c r="G21" s="75" t="s">
        <v>481</v>
      </c>
      <c r="H21" s="81">
        <f>28000/250</f>
        <v>112</v>
      </c>
      <c r="I21" s="80"/>
      <c r="J21" s="39">
        <f t="shared" si="2"/>
        <v>112</v>
      </c>
    </row>
    <row r="22">
      <c r="A22" s="75">
        <v>8.0</v>
      </c>
      <c r="B22" s="76" t="s">
        <v>568</v>
      </c>
      <c r="C22" s="75" t="s">
        <v>552</v>
      </c>
      <c r="D22" s="77">
        <v>0.03</v>
      </c>
      <c r="E22" s="75" t="s">
        <v>148</v>
      </c>
      <c r="F22" s="75" t="s">
        <v>547</v>
      </c>
      <c r="G22" s="75" t="s">
        <v>537</v>
      </c>
      <c r="H22" s="134">
        <v>18500.0</v>
      </c>
      <c r="I22" s="80"/>
      <c r="J22" s="89">
        <f t="shared" si="2"/>
        <v>555</v>
      </c>
    </row>
    <row r="23">
      <c r="A23" s="75">
        <v>9.0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10.0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11.0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75">
        <v>12.0</v>
      </c>
      <c r="B26" s="76"/>
      <c r="C26" s="75"/>
      <c r="D26" s="83"/>
      <c r="E26" s="75"/>
      <c r="F26" s="75"/>
      <c r="G26" s="75"/>
      <c r="H26" s="81"/>
      <c r="I26" s="80"/>
      <c r="J26" s="39">
        <f t="shared" si="2"/>
        <v>0</v>
      </c>
    </row>
    <row r="27">
      <c r="A27" s="42" t="s">
        <v>63</v>
      </c>
      <c r="J27" s="42"/>
    </row>
    <row r="28">
      <c r="A28" s="43" t="s">
        <v>10</v>
      </c>
      <c r="B28" s="43" t="s">
        <v>64</v>
      </c>
      <c r="C28" s="84"/>
      <c r="D28" s="43" t="s">
        <v>13</v>
      </c>
      <c r="E28" s="43" t="s">
        <v>14</v>
      </c>
      <c r="F28" s="43" t="s">
        <v>32</v>
      </c>
      <c r="G28" s="43" t="s">
        <v>16</v>
      </c>
      <c r="H28" s="43" t="s">
        <v>65</v>
      </c>
      <c r="I28" s="85"/>
      <c r="J28" s="43" t="s">
        <v>19</v>
      </c>
    </row>
    <row r="29">
      <c r="A29" s="75">
        <v>1.0</v>
      </c>
      <c r="B29" s="75" t="s">
        <v>357</v>
      </c>
      <c r="C29" s="86"/>
      <c r="D29" s="87">
        <v>1.0</v>
      </c>
      <c r="E29" s="75" t="s">
        <v>47</v>
      </c>
      <c r="F29" s="86"/>
      <c r="G29" s="75" t="s">
        <v>68</v>
      </c>
      <c r="H29" s="81">
        <v>750.0</v>
      </c>
      <c r="I29" s="88"/>
      <c r="J29" s="39">
        <f t="shared" ref="J29:J32" si="3">D29*H29</f>
        <v>750</v>
      </c>
    </row>
    <row r="30">
      <c r="A30" s="75">
        <v>2.0</v>
      </c>
      <c r="B30" s="75" t="s">
        <v>360</v>
      </c>
      <c r="C30" s="86"/>
      <c r="D30" s="87">
        <v>1.0</v>
      </c>
      <c r="E30" s="75" t="s">
        <v>47</v>
      </c>
      <c r="F30" s="86"/>
      <c r="G30" s="75" t="s">
        <v>68</v>
      </c>
      <c r="H30" s="81">
        <v>2500.0</v>
      </c>
      <c r="I30" s="88"/>
      <c r="J30" s="39">
        <f t="shared" si="3"/>
        <v>2500</v>
      </c>
    </row>
    <row r="31">
      <c r="A31" s="75">
        <v>3.0</v>
      </c>
      <c r="B31" s="75" t="s">
        <v>362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  <row r="32">
      <c r="A32" s="75">
        <v>4.0</v>
      </c>
      <c r="B32" s="75" t="s">
        <v>476</v>
      </c>
      <c r="C32" s="86"/>
      <c r="D32" s="87">
        <v>1.0</v>
      </c>
      <c r="E32" s="75"/>
      <c r="F32" s="89"/>
      <c r="G32" s="75" t="s">
        <v>68</v>
      </c>
      <c r="H32" s="81">
        <v>1500.0</v>
      </c>
      <c r="I32" s="88"/>
      <c r="J32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565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SUM(J10:J12)</f>
        <v>5380.416667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SUM(J15:J22)</f>
        <v>10079.24167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SUM(J29:J32)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20709.65833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563</v>
      </c>
      <c r="C10" s="75" t="s">
        <v>552</v>
      </c>
      <c r="D10" s="77">
        <f>1/5</f>
        <v>0.2</v>
      </c>
      <c r="E10" s="75" t="s">
        <v>148</v>
      </c>
      <c r="F10" s="78" t="s">
        <v>536</v>
      </c>
      <c r="G10" s="75" t="s">
        <v>537</v>
      </c>
      <c r="H10" s="79">
        <v>18500.0</v>
      </c>
      <c r="I10" s="81"/>
      <c r="J10" s="39">
        <f t="shared" ref="J10:J12" si="1">D10*H10</f>
        <v>3700</v>
      </c>
    </row>
    <row r="11">
      <c r="A11" s="75">
        <v>2.0</v>
      </c>
      <c r="B11" s="129" t="s">
        <v>566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18500.0</v>
      </c>
      <c r="I11" s="81"/>
      <c r="J11" s="39">
        <f t="shared" si="1"/>
        <v>616.6666667</v>
      </c>
    </row>
    <row r="12">
      <c r="A12" s="19">
        <v>3.0</v>
      </c>
      <c r="B12" s="76" t="s">
        <v>567</v>
      </c>
      <c r="C12" s="75" t="s">
        <v>552</v>
      </c>
      <c r="D12" s="135">
        <f>1.15/20</f>
        <v>0.0575</v>
      </c>
      <c r="E12" s="101" t="s">
        <v>128</v>
      </c>
      <c r="F12" s="44" t="s">
        <v>545</v>
      </c>
      <c r="G12" s="19" t="s">
        <v>537</v>
      </c>
      <c r="H12" s="55">
        <v>18500.0</v>
      </c>
      <c r="I12" s="20"/>
      <c r="J12" s="136">
        <f t="shared" si="1"/>
        <v>1063.75</v>
      </c>
    </row>
    <row r="13">
      <c r="A13" s="40" t="s">
        <v>31</v>
      </c>
      <c r="J13" s="40"/>
    </row>
    <row r="14">
      <c r="A14" s="41" t="s">
        <v>10</v>
      </c>
      <c r="B14" s="41" t="s">
        <v>11</v>
      </c>
      <c r="C14" s="41" t="s">
        <v>12</v>
      </c>
      <c r="D14" s="41" t="s">
        <v>13</v>
      </c>
      <c r="E14" s="41" t="s">
        <v>14</v>
      </c>
      <c r="F14" s="41" t="s">
        <v>32</v>
      </c>
      <c r="G14" s="41" t="s">
        <v>16</v>
      </c>
      <c r="H14" s="41" t="s">
        <v>17</v>
      </c>
      <c r="I14" s="41" t="s">
        <v>18</v>
      </c>
      <c r="J14" s="41" t="s">
        <v>19</v>
      </c>
    </row>
    <row r="15">
      <c r="A15" s="75">
        <v>1.0</v>
      </c>
      <c r="B15" s="76" t="s">
        <v>33</v>
      </c>
      <c r="C15" s="75" t="s">
        <v>21</v>
      </c>
      <c r="D15" s="77">
        <f>1/150</f>
        <v>0.006666666667</v>
      </c>
      <c r="E15" s="75" t="s">
        <v>35</v>
      </c>
      <c r="F15" s="75" t="s">
        <v>473</v>
      </c>
      <c r="G15" s="75" t="s">
        <v>38</v>
      </c>
      <c r="H15" s="81">
        <v>25000.0</v>
      </c>
      <c r="I15" s="80"/>
      <c r="J15" s="39">
        <f t="shared" ref="J15:J26" si="2">D15*H15</f>
        <v>166.6666667</v>
      </c>
    </row>
    <row r="16">
      <c r="A16" s="75">
        <v>2.0</v>
      </c>
      <c r="B16" s="76" t="s">
        <v>39</v>
      </c>
      <c r="C16" s="75" t="s">
        <v>21</v>
      </c>
      <c r="D16" s="77">
        <f>4/200</f>
        <v>0.02</v>
      </c>
      <c r="E16" s="75" t="s">
        <v>40</v>
      </c>
      <c r="F16" s="75" t="s">
        <v>474</v>
      </c>
      <c r="G16" s="75" t="s">
        <v>38</v>
      </c>
      <c r="H16" s="81">
        <v>13000.0</v>
      </c>
      <c r="I16" s="80"/>
      <c r="J16" s="39">
        <f t="shared" si="2"/>
        <v>260</v>
      </c>
    </row>
    <row r="17">
      <c r="A17" s="75">
        <v>3.0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4.0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5.0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6.0</v>
      </c>
      <c r="B20" s="76" t="s">
        <v>126</v>
      </c>
      <c r="C20" s="75" t="s">
        <v>552</v>
      </c>
      <c r="D20" s="94">
        <f>D10+D11+D12</f>
        <v>0.2908333333</v>
      </c>
      <c r="E20" s="75" t="s">
        <v>47</v>
      </c>
      <c r="F20" s="75"/>
      <c r="G20" s="75" t="s">
        <v>68</v>
      </c>
      <c r="H20" s="75">
        <f>19500*1.5</f>
        <v>29250</v>
      </c>
      <c r="I20" s="80"/>
      <c r="J20" s="89">
        <f t="shared" si="2"/>
        <v>8506.875</v>
      </c>
    </row>
    <row r="21">
      <c r="A21" s="75">
        <v>7.0</v>
      </c>
      <c r="B21" s="76" t="s">
        <v>478</v>
      </c>
      <c r="C21" s="75" t="s">
        <v>479</v>
      </c>
      <c r="D21" s="94">
        <v>1.0</v>
      </c>
      <c r="E21" s="75" t="s">
        <v>148</v>
      </c>
      <c r="F21" s="75" t="s">
        <v>480</v>
      </c>
      <c r="G21" s="75" t="s">
        <v>481</v>
      </c>
      <c r="H21" s="81">
        <f>28000/250</f>
        <v>112</v>
      </c>
      <c r="I21" s="80"/>
      <c r="J21" s="95">
        <f t="shared" si="2"/>
        <v>112</v>
      </c>
    </row>
    <row r="22">
      <c r="A22" s="75">
        <v>8.0</v>
      </c>
      <c r="B22" s="76" t="s">
        <v>568</v>
      </c>
      <c r="C22" s="75" t="s">
        <v>552</v>
      </c>
      <c r="D22" s="77">
        <v>0.03</v>
      </c>
      <c r="E22" s="75" t="s">
        <v>148</v>
      </c>
      <c r="F22" s="75" t="s">
        <v>547</v>
      </c>
      <c r="G22" s="75" t="s">
        <v>537</v>
      </c>
      <c r="H22" s="134">
        <v>18500.0</v>
      </c>
      <c r="I22" s="80"/>
      <c r="J22" s="89">
        <f t="shared" si="2"/>
        <v>555</v>
      </c>
    </row>
    <row r="23">
      <c r="A23" s="75">
        <v>9.0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10.0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11.0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75">
        <v>12.0</v>
      </c>
      <c r="B26" s="76"/>
      <c r="C26" s="75"/>
      <c r="D26" s="83"/>
      <c r="E26" s="75"/>
      <c r="F26" s="75"/>
      <c r="G26" s="75"/>
      <c r="H26" s="81"/>
      <c r="I26" s="80"/>
      <c r="J26" s="39">
        <f t="shared" si="2"/>
        <v>0</v>
      </c>
    </row>
    <row r="27">
      <c r="A27" s="42" t="s">
        <v>63</v>
      </c>
      <c r="J27" s="42"/>
    </row>
    <row r="28">
      <c r="A28" s="43" t="s">
        <v>10</v>
      </c>
      <c r="B28" s="43" t="s">
        <v>64</v>
      </c>
      <c r="C28" s="84"/>
      <c r="D28" s="43" t="s">
        <v>13</v>
      </c>
      <c r="E28" s="43" t="s">
        <v>14</v>
      </c>
      <c r="F28" s="43" t="s">
        <v>32</v>
      </c>
      <c r="G28" s="43" t="s">
        <v>16</v>
      </c>
      <c r="H28" s="43" t="s">
        <v>65</v>
      </c>
      <c r="I28" s="85"/>
      <c r="J28" s="43" t="s">
        <v>19</v>
      </c>
    </row>
    <row r="29">
      <c r="A29" s="75">
        <v>1.0</v>
      </c>
      <c r="B29" s="75" t="s">
        <v>357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1750.0</v>
      </c>
      <c r="I29" s="88"/>
      <c r="J29" s="39">
        <f t="shared" ref="J29:J31" si="3">D29*H29</f>
        <v>1750</v>
      </c>
    </row>
    <row r="30">
      <c r="A30" s="75">
        <v>2.0</v>
      </c>
      <c r="B30" s="75" t="s">
        <v>360</v>
      </c>
      <c r="C30" s="86"/>
      <c r="D30" s="87">
        <v>1.0</v>
      </c>
      <c r="E30" s="75" t="s">
        <v>47</v>
      </c>
      <c r="F30" s="86"/>
      <c r="G30" s="75" t="s">
        <v>68</v>
      </c>
      <c r="H30" s="81">
        <v>2000.0</v>
      </c>
      <c r="I30" s="88"/>
      <c r="J30" s="39">
        <f t="shared" si="3"/>
        <v>2000</v>
      </c>
    </row>
    <row r="31">
      <c r="A31" s="75">
        <v>3.0</v>
      </c>
      <c r="B31" s="75" t="s">
        <v>362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  <row r="32">
      <c r="A32" s="75"/>
      <c r="B32" s="75"/>
      <c r="C32" s="86"/>
      <c r="D32" s="87"/>
      <c r="E32" s="75"/>
      <c r="F32" s="89"/>
      <c r="G32" s="75"/>
      <c r="H32" s="81"/>
      <c r="I32" s="88"/>
      <c r="J32" s="89"/>
    </row>
    <row r="33">
      <c r="A33" s="75"/>
      <c r="B33" s="75"/>
      <c r="C33" s="86"/>
      <c r="D33" s="87"/>
      <c r="E33" s="75"/>
      <c r="F33" s="89"/>
      <c r="G33" s="75"/>
      <c r="H33" s="81"/>
      <c r="I33" s="88"/>
      <c r="J33" s="89"/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569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SUM(J10:J12)</f>
        <v>6444.166667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SUM(J15:J22)</f>
        <v>11761.11667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SUM(J29:J32)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23455.28333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563</v>
      </c>
      <c r="C10" s="75" t="s">
        <v>552</v>
      </c>
      <c r="D10" s="77">
        <f>1/4</f>
        <v>0.25</v>
      </c>
      <c r="E10" s="75" t="s">
        <v>148</v>
      </c>
      <c r="F10" s="78" t="s">
        <v>542</v>
      </c>
      <c r="G10" s="75" t="s">
        <v>537</v>
      </c>
      <c r="H10" s="79">
        <v>18500.0</v>
      </c>
      <c r="I10" s="81"/>
      <c r="J10" s="39">
        <f t="shared" ref="J10:J12" si="1">D10*H10</f>
        <v>4625</v>
      </c>
    </row>
    <row r="11">
      <c r="A11" s="75">
        <v>2.0</v>
      </c>
      <c r="B11" s="129" t="s">
        <v>566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18500.0</v>
      </c>
      <c r="I11" s="81"/>
      <c r="J11" s="39">
        <f t="shared" si="1"/>
        <v>616.6666667</v>
      </c>
    </row>
    <row r="12">
      <c r="A12" s="19">
        <v>3.0</v>
      </c>
      <c r="B12" s="76" t="s">
        <v>567</v>
      </c>
      <c r="C12" s="75" t="s">
        <v>552</v>
      </c>
      <c r="D12" s="135">
        <f>1.3/20</f>
        <v>0.065</v>
      </c>
      <c r="E12" s="101" t="s">
        <v>128</v>
      </c>
      <c r="F12" s="55" t="s">
        <v>544</v>
      </c>
      <c r="G12" s="19" t="s">
        <v>537</v>
      </c>
      <c r="H12" s="55">
        <v>18500.0</v>
      </c>
      <c r="I12" s="20"/>
      <c r="J12" s="136">
        <f t="shared" si="1"/>
        <v>1202.5</v>
      </c>
    </row>
    <row r="13">
      <c r="A13" s="40" t="s">
        <v>31</v>
      </c>
      <c r="J13" s="40"/>
    </row>
    <row r="14">
      <c r="A14" s="41" t="s">
        <v>10</v>
      </c>
      <c r="B14" s="41" t="s">
        <v>11</v>
      </c>
      <c r="C14" s="41" t="s">
        <v>12</v>
      </c>
      <c r="D14" s="41" t="s">
        <v>13</v>
      </c>
      <c r="E14" s="41" t="s">
        <v>14</v>
      </c>
      <c r="F14" s="41" t="s">
        <v>32</v>
      </c>
      <c r="G14" s="41" t="s">
        <v>16</v>
      </c>
      <c r="H14" s="41" t="s">
        <v>17</v>
      </c>
      <c r="I14" s="41" t="s">
        <v>18</v>
      </c>
      <c r="J14" s="41" t="s">
        <v>19</v>
      </c>
    </row>
    <row r="15">
      <c r="A15" s="75">
        <v>1.0</v>
      </c>
      <c r="B15" s="76" t="s">
        <v>33</v>
      </c>
      <c r="C15" s="75" t="s">
        <v>21</v>
      </c>
      <c r="D15" s="77">
        <f>1/150</f>
        <v>0.006666666667</v>
      </c>
      <c r="E15" s="75" t="s">
        <v>35</v>
      </c>
      <c r="F15" s="75" t="s">
        <v>473</v>
      </c>
      <c r="G15" s="75" t="s">
        <v>38</v>
      </c>
      <c r="H15" s="81">
        <v>25000.0</v>
      </c>
      <c r="I15" s="80"/>
      <c r="J15" s="39">
        <f t="shared" ref="J15:J26" si="2">D15*H15</f>
        <v>166.6666667</v>
      </c>
    </row>
    <row r="16">
      <c r="A16" s="75">
        <v>2.0</v>
      </c>
      <c r="B16" s="76" t="s">
        <v>39</v>
      </c>
      <c r="C16" s="75" t="s">
        <v>21</v>
      </c>
      <c r="D16" s="77">
        <f>4/200</f>
        <v>0.02</v>
      </c>
      <c r="E16" s="75" t="s">
        <v>40</v>
      </c>
      <c r="F16" s="75" t="s">
        <v>474</v>
      </c>
      <c r="G16" s="75" t="s">
        <v>38</v>
      </c>
      <c r="H16" s="81">
        <v>13000.0</v>
      </c>
      <c r="I16" s="80"/>
      <c r="J16" s="39">
        <f t="shared" si="2"/>
        <v>260</v>
      </c>
    </row>
    <row r="17">
      <c r="A17" s="75">
        <v>3.0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4.0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5.0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6.0</v>
      </c>
      <c r="B20" s="76" t="s">
        <v>126</v>
      </c>
      <c r="C20" s="75" t="s">
        <v>552</v>
      </c>
      <c r="D20" s="94">
        <f>D10+D11+D12</f>
        <v>0.3483333333</v>
      </c>
      <c r="E20" s="75" t="s">
        <v>47</v>
      </c>
      <c r="F20" s="75"/>
      <c r="G20" s="75" t="s">
        <v>68</v>
      </c>
      <c r="H20" s="75">
        <f>19500*1.5</f>
        <v>29250</v>
      </c>
      <c r="I20" s="80"/>
      <c r="J20" s="89">
        <f t="shared" si="2"/>
        <v>10188.75</v>
      </c>
    </row>
    <row r="21">
      <c r="A21" s="75">
        <v>7.0</v>
      </c>
      <c r="B21" s="76" t="s">
        <v>478</v>
      </c>
      <c r="C21" s="75" t="s">
        <v>479</v>
      </c>
      <c r="D21" s="94">
        <v>1.0</v>
      </c>
      <c r="E21" s="75" t="s">
        <v>148</v>
      </c>
      <c r="F21" s="75" t="s">
        <v>480</v>
      </c>
      <c r="G21" s="75" t="s">
        <v>481</v>
      </c>
      <c r="H21" s="81">
        <f>28000/250</f>
        <v>112</v>
      </c>
      <c r="I21" s="80"/>
      <c r="J21" s="95">
        <f t="shared" si="2"/>
        <v>112</v>
      </c>
    </row>
    <row r="22">
      <c r="A22" s="75">
        <v>8.0</v>
      </c>
      <c r="B22" s="76" t="s">
        <v>568</v>
      </c>
      <c r="C22" s="75" t="s">
        <v>552</v>
      </c>
      <c r="D22" s="77">
        <v>0.03</v>
      </c>
      <c r="E22" s="75" t="s">
        <v>148</v>
      </c>
      <c r="F22" s="75" t="s">
        <v>547</v>
      </c>
      <c r="G22" s="75" t="s">
        <v>537</v>
      </c>
      <c r="H22" s="134">
        <v>18500.0</v>
      </c>
      <c r="I22" s="80"/>
      <c r="J22" s="89">
        <f t="shared" si="2"/>
        <v>555</v>
      </c>
    </row>
    <row r="23">
      <c r="A23" s="75">
        <v>9.0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10.0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11.0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75">
        <v>12.0</v>
      </c>
      <c r="B26" s="76"/>
      <c r="C26" s="75"/>
      <c r="D26" s="83"/>
      <c r="E26" s="75"/>
      <c r="F26" s="75"/>
      <c r="G26" s="75"/>
      <c r="H26" s="81"/>
      <c r="I26" s="80"/>
      <c r="J26" s="39">
        <f t="shared" si="2"/>
        <v>0</v>
      </c>
    </row>
    <row r="27">
      <c r="A27" s="42" t="s">
        <v>63</v>
      </c>
      <c r="J27" s="42"/>
    </row>
    <row r="28">
      <c r="A28" s="43" t="s">
        <v>10</v>
      </c>
      <c r="B28" s="43" t="s">
        <v>64</v>
      </c>
      <c r="C28" s="84"/>
      <c r="D28" s="43" t="s">
        <v>13</v>
      </c>
      <c r="E28" s="43" t="s">
        <v>14</v>
      </c>
      <c r="F28" s="43" t="s">
        <v>32</v>
      </c>
      <c r="G28" s="43" t="s">
        <v>16</v>
      </c>
      <c r="H28" s="43" t="s">
        <v>65</v>
      </c>
      <c r="I28" s="85"/>
      <c r="J28" s="43" t="s">
        <v>19</v>
      </c>
    </row>
    <row r="29">
      <c r="A29" s="75">
        <v>1.0</v>
      </c>
      <c r="B29" s="75" t="s">
        <v>357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1750.0</v>
      </c>
      <c r="I29" s="88"/>
      <c r="J29" s="39">
        <f t="shared" ref="J29:J31" si="3">D29*H29</f>
        <v>1750</v>
      </c>
    </row>
    <row r="30">
      <c r="A30" s="75">
        <v>2.0</v>
      </c>
      <c r="B30" s="75" t="s">
        <v>360</v>
      </c>
      <c r="C30" s="86"/>
      <c r="D30" s="87">
        <v>1.0</v>
      </c>
      <c r="E30" s="75" t="s">
        <v>47</v>
      </c>
      <c r="F30" s="86"/>
      <c r="G30" s="75" t="s">
        <v>68</v>
      </c>
      <c r="H30" s="81">
        <v>2000.0</v>
      </c>
      <c r="I30" s="88"/>
      <c r="J30" s="39">
        <f t="shared" si="3"/>
        <v>2000</v>
      </c>
    </row>
    <row r="31">
      <c r="A31" s="75">
        <v>3.0</v>
      </c>
      <c r="B31" s="75" t="s">
        <v>362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  <row r="32">
      <c r="A32" s="75"/>
      <c r="B32" s="75"/>
      <c r="C32" s="86"/>
      <c r="D32" s="87"/>
      <c r="E32" s="75"/>
      <c r="F32" s="89"/>
      <c r="G32" s="75"/>
      <c r="H32" s="81"/>
      <c r="I32" s="88"/>
      <c r="J32" s="89"/>
    </row>
    <row r="33">
      <c r="A33" s="75"/>
      <c r="B33" s="75"/>
      <c r="C33" s="86"/>
      <c r="D33" s="87"/>
      <c r="E33" s="75"/>
      <c r="F33" s="89"/>
      <c r="G33" s="75"/>
      <c r="H33" s="81"/>
      <c r="I33" s="88"/>
      <c r="J33" s="89"/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570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6783.333333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2572.366667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15605.7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563</v>
      </c>
      <c r="C10" s="75" t="s">
        <v>552</v>
      </c>
      <c r="D10" s="77">
        <f>1/3</f>
        <v>0.3333333333</v>
      </c>
      <c r="E10" s="75" t="s">
        <v>148</v>
      </c>
      <c r="F10" s="78" t="s">
        <v>554</v>
      </c>
      <c r="G10" s="75" t="s">
        <v>537</v>
      </c>
      <c r="H10" s="79">
        <v>18500.0</v>
      </c>
      <c r="I10" s="81"/>
      <c r="J10" s="39">
        <f t="shared" ref="J10:J11" si="1">D10*H10</f>
        <v>6166.666667</v>
      </c>
    </row>
    <row r="11">
      <c r="A11" s="75">
        <v>2.0</v>
      </c>
      <c r="B11" s="129" t="s">
        <v>566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18500.0</v>
      </c>
      <c r="I11" s="81"/>
      <c r="J11" s="39">
        <f t="shared" si="1"/>
        <v>616.6666667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 t="s">
        <v>568</v>
      </c>
      <c r="C21" s="75" t="s">
        <v>552</v>
      </c>
      <c r="D21" s="77">
        <v>0.03</v>
      </c>
      <c r="E21" s="75" t="s">
        <v>148</v>
      </c>
      <c r="F21" s="75" t="s">
        <v>547</v>
      </c>
      <c r="G21" s="75" t="s">
        <v>537</v>
      </c>
      <c r="H21" s="134">
        <v>18500.0</v>
      </c>
      <c r="I21" s="80"/>
      <c r="J21" s="89">
        <f t="shared" si="2"/>
        <v>555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1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2500.0</v>
      </c>
      <c r="I29" s="88"/>
      <c r="J29" s="39">
        <f t="shared" si="3"/>
        <v>2500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/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571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8016.666667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2572.366667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16839.03333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563</v>
      </c>
      <c r="C10" s="75" t="s">
        <v>552</v>
      </c>
      <c r="D10" s="77">
        <f>1/2.5</f>
        <v>0.4</v>
      </c>
      <c r="E10" s="75" t="s">
        <v>148</v>
      </c>
      <c r="F10" s="78" t="s">
        <v>553</v>
      </c>
      <c r="G10" s="75" t="s">
        <v>537</v>
      </c>
      <c r="H10" s="79">
        <v>18500.0</v>
      </c>
      <c r="I10" s="81"/>
      <c r="J10" s="39">
        <f t="shared" ref="J10:J11" si="1">D10*H10</f>
        <v>7400</v>
      </c>
    </row>
    <row r="11">
      <c r="A11" s="75">
        <v>2.0</v>
      </c>
      <c r="B11" s="129" t="s">
        <v>566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18500.0</v>
      </c>
      <c r="I11" s="81"/>
      <c r="J11" s="39">
        <f t="shared" si="1"/>
        <v>616.6666667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 t="s">
        <v>568</v>
      </c>
      <c r="C21" s="75" t="s">
        <v>552</v>
      </c>
      <c r="D21" s="77">
        <v>0.03</v>
      </c>
      <c r="E21" s="75" t="s">
        <v>148</v>
      </c>
      <c r="F21" s="75" t="s">
        <v>547</v>
      </c>
      <c r="G21" s="75" t="s">
        <v>537</v>
      </c>
      <c r="H21" s="134">
        <v>18500.0</v>
      </c>
      <c r="I21" s="80"/>
      <c r="J21" s="89">
        <f t="shared" si="2"/>
        <v>555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1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2500.0</v>
      </c>
      <c r="I29" s="88"/>
      <c r="J29" s="39">
        <f t="shared" si="3"/>
        <v>2500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572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6783.333333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12297.36667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24330.7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563</v>
      </c>
      <c r="C10" s="75" t="s">
        <v>552</v>
      </c>
      <c r="D10" s="77">
        <f>1/3</f>
        <v>0.3333333333</v>
      </c>
      <c r="E10" s="75" t="s">
        <v>148</v>
      </c>
      <c r="F10" s="78" t="s">
        <v>554</v>
      </c>
      <c r="G10" s="75" t="s">
        <v>537</v>
      </c>
      <c r="H10" s="79">
        <v>18500.0</v>
      </c>
      <c r="I10" s="81"/>
      <c r="J10" s="39">
        <f t="shared" ref="J10:J11" si="1">D10*H10</f>
        <v>6166.666667</v>
      </c>
    </row>
    <row r="11">
      <c r="A11" s="75">
        <v>2.0</v>
      </c>
      <c r="B11" s="129" t="s">
        <v>566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18500.0</v>
      </c>
      <c r="I11" s="81"/>
      <c r="J11" s="39">
        <f t="shared" si="1"/>
        <v>616.6666667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126</v>
      </c>
      <c r="C19" s="75" t="s">
        <v>552</v>
      </c>
      <c r="D19" s="94">
        <f>D10+D11</f>
        <v>0.3666666667</v>
      </c>
      <c r="E19" s="75" t="s">
        <v>47</v>
      </c>
      <c r="F19" s="75"/>
      <c r="G19" s="75" t="s">
        <v>68</v>
      </c>
      <c r="H19" s="75">
        <f>19500*1.5</f>
        <v>29250</v>
      </c>
      <c r="I19" s="80"/>
      <c r="J19" s="89">
        <f t="shared" si="2"/>
        <v>10725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95">
        <f t="shared" si="2"/>
        <v>112</v>
      </c>
    </row>
    <row r="21">
      <c r="A21" s="75">
        <v>8.0</v>
      </c>
      <c r="B21" s="76" t="s">
        <v>568</v>
      </c>
      <c r="C21" s="75" t="s">
        <v>552</v>
      </c>
      <c r="D21" s="77">
        <v>0.03</v>
      </c>
      <c r="E21" s="75" t="s">
        <v>148</v>
      </c>
      <c r="F21" s="75" t="s">
        <v>547</v>
      </c>
      <c r="G21" s="75" t="s">
        <v>537</v>
      </c>
      <c r="H21" s="134">
        <v>18500.0</v>
      </c>
      <c r="I21" s="80"/>
      <c r="J21" s="89">
        <f t="shared" si="2"/>
        <v>555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3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2000.0</v>
      </c>
      <c r="I29" s="88"/>
      <c r="J29" s="39">
        <f t="shared" si="3"/>
        <v>2000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20"/>
      <c r="B31" s="20"/>
      <c r="C31" s="33"/>
      <c r="D31" s="69"/>
      <c r="E31" s="20"/>
      <c r="F31" s="35"/>
      <c r="G31" s="20"/>
      <c r="H31" s="62"/>
      <c r="I31" s="33"/>
      <c r="J31" s="35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573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8016.666667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14247.36667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27514.03333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563</v>
      </c>
      <c r="C10" s="75" t="s">
        <v>552</v>
      </c>
      <c r="D10" s="77">
        <f>1/2.5</f>
        <v>0.4</v>
      </c>
      <c r="E10" s="75" t="s">
        <v>148</v>
      </c>
      <c r="F10" s="78" t="s">
        <v>553</v>
      </c>
      <c r="G10" s="75" t="s">
        <v>537</v>
      </c>
      <c r="H10" s="79">
        <v>18500.0</v>
      </c>
      <c r="I10" s="81"/>
      <c r="J10" s="39">
        <f t="shared" ref="J10:J11" si="1">D10*H10</f>
        <v>7400</v>
      </c>
    </row>
    <row r="11">
      <c r="A11" s="75">
        <v>2.0</v>
      </c>
      <c r="B11" s="129" t="s">
        <v>566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18500.0</v>
      </c>
      <c r="I11" s="81"/>
      <c r="J11" s="39">
        <f t="shared" si="1"/>
        <v>616.6666667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126</v>
      </c>
      <c r="C19" s="75" t="s">
        <v>552</v>
      </c>
      <c r="D19" s="94">
        <f>D10+D11</f>
        <v>0.4333333333</v>
      </c>
      <c r="E19" s="75" t="s">
        <v>47</v>
      </c>
      <c r="F19" s="75"/>
      <c r="G19" s="75" t="s">
        <v>68</v>
      </c>
      <c r="H19" s="75">
        <f>19500*1.5</f>
        <v>29250</v>
      </c>
      <c r="I19" s="80"/>
      <c r="J19" s="89">
        <f t="shared" si="2"/>
        <v>12675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95">
        <f t="shared" si="2"/>
        <v>112</v>
      </c>
    </row>
    <row r="21">
      <c r="A21" s="75">
        <v>8.0</v>
      </c>
      <c r="B21" s="76" t="s">
        <v>568</v>
      </c>
      <c r="C21" s="75" t="s">
        <v>552</v>
      </c>
      <c r="D21" s="77">
        <v>0.03</v>
      </c>
      <c r="E21" s="75" t="s">
        <v>148</v>
      </c>
      <c r="F21" s="75" t="s">
        <v>547</v>
      </c>
      <c r="G21" s="75" t="s">
        <v>537</v>
      </c>
      <c r="H21" s="134">
        <v>18500.0</v>
      </c>
      <c r="I21" s="80"/>
      <c r="J21" s="89">
        <f t="shared" si="2"/>
        <v>555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3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2000.0</v>
      </c>
      <c r="I29" s="88"/>
      <c r="J29" s="39">
        <f t="shared" si="3"/>
        <v>2000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20"/>
      <c r="B31" s="20"/>
      <c r="C31" s="33"/>
      <c r="D31" s="69"/>
      <c r="E31" s="20"/>
      <c r="F31" s="35"/>
      <c r="G31" s="20"/>
      <c r="H31" s="62"/>
      <c r="I31" s="33"/>
      <c r="J31" s="35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37" t="s">
        <v>574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8016.666667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2572.366667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16839.03333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563</v>
      </c>
      <c r="C10" s="75" t="s">
        <v>552</v>
      </c>
      <c r="D10" s="77">
        <f>1/2.5</f>
        <v>0.4</v>
      </c>
      <c r="E10" s="75" t="s">
        <v>148</v>
      </c>
      <c r="F10" s="78" t="s">
        <v>553</v>
      </c>
      <c r="G10" s="75" t="s">
        <v>537</v>
      </c>
      <c r="H10" s="79">
        <v>18500.0</v>
      </c>
      <c r="I10" s="81"/>
      <c r="J10" s="39">
        <f t="shared" ref="J10:J11" si="1">D10*H10</f>
        <v>7400</v>
      </c>
    </row>
    <row r="11">
      <c r="A11" s="75">
        <v>2.0</v>
      </c>
      <c r="B11" s="129" t="s">
        <v>566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18500.0</v>
      </c>
      <c r="I11" s="81"/>
      <c r="J11" s="39">
        <f t="shared" si="1"/>
        <v>616.6666667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 t="s">
        <v>568</v>
      </c>
      <c r="C21" s="75" t="s">
        <v>552</v>
      </c>
      <c r="D21" s="77">
        <v>0.03</v>
      </c>
      <c r="E21" s="75" t="s">
        <v>148</v>
      </c>
      <c r="F21" s="75" t="s">
        <v>547</v>
      </c>
      <c r="G21" s="75" t="s">
        <v>537</v>
      </c>
      <c r="H21" s="134">
        <v>18500.0</v>
      </c>
      <c r="I21" s="80"/>
      <c r="J21" s="89">
        <f t="shared" si="2"/>
        <v>555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1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2500.0</v>
      </c>
      <c r="I29" s="88"/>
      <c r="J29" s="39">
        <f t="shared" si="3"/>
        <v>2500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/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37" t="s">
        <v>575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9866.666667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2572.366667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18689.03333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563</v>
      </c>
      <c r="C10" s="75" t="s">
        <v>552</v>
      </c>
      <c r="D10" s="77">
        <f>1/2</f>
        <v>0.5</v>
      </c>
      <c r="E10" s="75" t="s">
        <v>148</v>
      </c>
      <c r="F10" s="78" t="s">
        <v>559</v>
      </c>
      <c r="G10" s="75" t="s">
        <v>537</v>
      </c>
      <c r="H10" s="79">
        <v>18500.0</v>
      </c>
      <c r="I10" s="81"/>
      <c r="J10" s="39">
        <f t="shared" ref="J10:J11" si="1">D10*H10</f>
        <v>9250</v>
      </c>
    </row>
    <row r="11">
      <c r="A11" s="75">
        <v>2.0</v>
      </c>
      <c r="B11" s="129" t="s">
        <v>566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18500.0</v>
      </c>
      <c r="I11" s="81"/>
      <c r="J11" s="39">
        <f t="shared" si="1"/>
        <v>616.6666667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476</v>
      </c>
      <c r="C19" s="75" t="s">
        <v>352</v>
      </c>
      <c r="D19" s="94">
        <v>1.0</v>
      </c>
      <c r="E19" s="75" t="s">
        <v>47</v>
      </c>
      <c r="F19" s="75"/>
      <c r="G19" s="75" t="s">
        <v>68</v>
      </c>
      <c r="H19" s="75">
        <v>1000.0</v>
      </c>
      <c r="I19" s="80"/>
      <c r="J19" s="89">
        <f t="shared" si="2"/>
        <v>1000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39">
        <f t="shared" si="2"/>
        <v>112</v>
      </c>
    </row>
    <row r="21">
      <c r="A21" s="75">
        <v>8.0</v>
      </c>
      <c r="B21" s="76" t="s">
        <v>568</v>
      </c>
      <c r="C21" s="75" t="s">
        <v>552</v>
      </c>
      <c r="D21" s="77">
        <v>0.03</v>
      </c>
      <c r="E21" s="75" t="s">
        <v>148</v>
      </c>
      <c r="F21" s="75" t="s">
        <v>547</v>
      </c>
      <c r="G21" s="75" t="s">
        <v>537</v>
      </c>
      <c r="H21" s="134">
        <v>18500.0</v>
      </c>
      <c r="I21" s="80"/>
      <c r="J21" s="89">
        <f t="shared" si="2"/>
        <v>555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1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2500.0</v>
      </c>
      <c r="I29" s="88"/>
      <c r="J29" s="39">
        <f t="shared" si="3"/>
        <v>2500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75">
        <v>4.0</v>
      </c>
      <c r="B31" s="75" t="s">
        <v>476</v>
      </c>
      <c r="C31" s="86"/>
      <c r="D31" s="87">
        <v>1.0</v>
      </c>
      <c r="E31" s="75"/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576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8016.666667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14247.36667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27514.03333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563</v>
      </c>
      <c r="C10" s="75" t="s">
        <v>552</v>
      </c>
      <c r="D10" s="77">
        <f>1/2.5</f>
        <v>0.4</v>
      </c>
      <c r="E10" s="75" t="s">
        <v>148</v>
      </c>
      <c r="F10" s="78" t="s">
        <v>553</v>
      </c>
      <c r="G10" s="75" t="s">
        <v>537</v>
      </c>
      <c r="H10" s="79">
        <v>18500.0</v>
      </c>
      <c r="I10" s="81"/>
      <c r="J10" s="39">
        <f t="shared" ref="J10:J11" si="1">D10*H10</f>
        <v>7400</v>
      </c>
    </row>
    <row r="11">
      <c r="A11" s="75">
        <v>2.0</v>
      </c>
      <c r="B11" s="129" t="s">
        <v>566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18500.0</v>
      </c>
      <c r="I11" s="81"/>
      <c r="J11" s="39">
        <f t="shared" si="1"/>
        <v>616.6666667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126</v>
      </c>
      <c r="C19" s="75" t="s">
        <v>552</v>
      </c>
      <c r="D19" s="94">
        <f>D10+D11</f>
        <v>0.4333333333</v>
      </c>
      <c r="E19" s="75" t="s">
        <v>47</v>
      </c>
      <c r="F19" s="75"/>
      <c r="G19" s="75" t="s">
        <v>68</v>
      </c>
      <c r="H19" s="75">
        <f>19500*1.5</f>
        <v>29250</v>
      </c>
      <c r="I19" s="80"/>
      <c r="J19" s="89">
        <f t="shared" si="2"/>
        <v>12675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95">
        <f t="shared" si="2"/>
        <v>112</v>
      </c>
    </row>
    <row r="21">
      <c r="A21" s="75">
        <v>8.0</v>
      </c>
      <c r="B21" s="76" t="s">
        <v>568</v>
      </c>
      <c r="C21" s="75" t="s">
        <v>552</v>
      </c>
      <c r="D21" s="77">
        <v>0.03</v>
      </c>
      <c r="E21" s="75" t="s">
        <v>148</v>
      </c>
      <c r="F21" s="75" t="s">
        <v>547</v>
      </c>
      <c r="G21" s="75" t="s">
        <v>537</v>
      </c>
      <c r="H21" s="134">
        <v>18500.0</v>
      </c>
      <c r="I21" s="80"/>
      <c r="J21" s="89">
        <f t="shared" si="2"/>
        <v>555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3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2000.0</v>
      </c>
      <c r="I29" s="88"/>
      <c r="J29" s="39">
        <f t="shared" si="3"/>
        <v>2000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20"/>
      <c r="B31" s="20"/>
      <c r="C31" s="33"/>
      <c r="D31" s="69"/>
      <c r="E31" s="20"/>
      <c r="F31" s="35"/>
      <c r="G31" s="20"/>
      <c r="H31" s="62"/>
      <c r="I31" s="33"/>
      <c r="J31" s="35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577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9866.666667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17172.36667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32289.03333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563</v>
      </c>
      <c r="C10" s="75" t="s">
        <v>552</v>
      </c>
      <c r="D10" s="77">
        <f>1/2</f>
        <v>0.5</v>
      </c>
      <c r="E10" s="75" t="s">
        <v>148</v>
      </c>
      <c r="F10" s="78" t="s">
        <v>559</v>
      </c>
      <c r="G10" s="75" t="s">
        <v>537</v>
      </c>
      <c r="H10" s="79">
        <v>18500.0</v>
      </c>
      <c r="I10" s="81"/>
      <c r="J10" s="39">
        <f t="shared" ref="J10:J11" si="1">D10*H10</f>
        <v>9250</v>
      </c>
    </row>
    <row r="11">
      <c r="A11" s="75">
        <v>2.0</v>
      </c>
      <c r="B11" s="129" t="s">
        <v>566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537</v>
      </c>
      <c r="H11" s="79">
        <v>18500.0</v>
      </c>
      <c r="I11" s="81"/>
      <c r="J11" s="39">
        <f t="shared" si="1"/>
        <v>616.6666667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1/150</f>
        <v>0.006666666667</v>
      </c>
      <c r="E14" s="75" t="s">
        <v>35</v>
      </c>
      <c r="F14" s="75" t="s">
        <v>473</v>
      </c>
      <c r="G14" s="75" t="s">
        <v>38</v>
      </c>
      <c r="H14" s="81">
        <v>25000.0</v>
      </c>
      <c r="I14" s="80"/>
      <c r="J14" s="39">
        <f t="shared" ref="J14:J25" si="2">D14*H14</f>
        <v>166.6666667</v>
      </c>
    </row>
    <row r="15">
      <c r="A15" s="75">
        <v>2.0</v>
      </c>
      <c r="B15" s="76" t="s">
        <v>39</v>
      </c>
      <c r="C15" s="75" t="s">
        <v>21</v>
      </c>
      <c r="D15" s="77">
        <f>4/200</f>
        <v>0.02</v>
      </c>
      <c r="E15" s="75" t="s">
        <v>40</v>
      </c>
      <c r="F15" s="75" t="s">
        <v>474</v>
      </c>
      <c r="G15" s="75" t="s">
        <v>38</v>
      </c>
      <c r="H15" s="81">
        <v>13000.0</v>
      </c>
      <c r="I15" s="80"/>
      <c r="J15" s="39">
        <f t="shared" si="2"/>
        <v>260</v>
      </c>
    </row>
    <row r="16">
      <c r="A16" s="75">
        <v>3.0</v>
      </c>
      <c r="B16" s="76" t="s">
        <v>45</v>
      </c>
      <c r="C16" s="75" t="s">
        <v>46</v>
      </c>
      <c r="D16" s="77">
        <v>1.0</v>
      </c>
      <c r="E16" s="75" t="s">
        <v>47</v>
      </c>
      <c r="F16" s="75" t="s">
        <v>48</v>
      </c>
      <c r="G16" s="75" t="s">
        <v>49</v>
      </c>
      <c r="H16" s="81">
        <v>370.0</v>
      </c>
      <c r="I16" s="80"/>
      <c r="J16" s="39">
        <f t="shared" si="2"/>
        <v>370</v>
      </c>
    </row>
    <row r="17">
      <c r="A17" s="75">
        <v>4.0</v>
      </c>
      <c r="B17" s="76" t="s">
        <v>50</v>
      </c>
      <c r="C17" s="75" t="s">
        <v>46</v>
      </c>
      <c r="D17" s="77">
        <f>1/10</f>
        <v>0.1</v>
      </c>
      <c r="E17" s="75" t="s">
        <v>47</v>
      </c>
      <c r="F17" s="75" t="s">
        <v>51</v>
      </c>
      <c r="G17" s="75" t="s">
        <v>52</v>
      </c>
      <c r="H17" s="81">
        <v>587.0</v>
      </c>
      <c r="I17" s="80"/>
      <c r="J17" s="39">
        <f t="shared" si="2"/>
        <v>58.7</v>
      </c>
    </row>
    <row r="18">
      <c r="A18" s="75">
        <v>5.0</v>
      </c>
      <c r="B18" s="76" t="s">
        <v>53</v>
      </c>
      <c r="C18" s="75" t="s">
        <v>54</v>
      </c>
      <c r="D18" s="77">
        <f>1/100</f>
        <v>0.01</v>
      </c>
      <c r="E18" s="75" t="s">
        <v>47</v>
      </c>
      <c r="F18" s="75" t="s">
        <v>55</v>
      </c>
      <c r="G18" s="75" t="s">
        <v>56</v>
      </c>
      <c r="H18" s="81">
        <v>5000.0</v>
      </c>
      <c r="I18" s="80"/>
      <c r="J18" s="39">
        <f t="shared" si="2"/>
        <v>50</v>
      </c>
    </row>
    <row r="19">
      <c r="A19" s="75">
        <v>6.0</v>
      </c>
      <c r="B19" s="76" t="s">
        <v>126</v>
      </c>
      <c r="C19" s="75" t="s">
        <v>552</v>
      </c>
      <c r="D19" s="94">
        <f>D10+D11</f>
        <v>0.5333333333</v>
      </c>
      <c r="E19" s="75" t="s">
        <v>47</v>
      </c>
      <c r="F19" s="75"/>
      <c r="G19" s="75" t="s">
        <v>68</v>
      </c>
      <c r="H19" s="75">
        <f>19500*1.5</f>
        <v>29250</v>
      </c>
      <c r="I19" s="80"/>
      <c r="J19" s="89">
        <f t="shared" si="2"/>
        <v>15600</v>
      </c>
    </row>
    <row r="20">
      <c r="A20" s="75">
        <v>7.0</v>
      </c>
      <c r="B20" s="76" t="s">
        <v>478</v>
      </c>
      <c r="C20" s="75" t="s">
        <v>479</v>
      </c>
      <c r="D20" s="94">
        <v>1.0</v>
      </c>
      <c r="E20" s="75" t="s">
        <v>148</v>
      </c>
      <c r="F20" s="75" t="s">
        <v>480</v>
      </c>
      <c r="G20" s="75" t="s">
        <v>481</v>
      </c>
      <c r="H20" s="81">
        <f>28000/250</f>
        <v>112</v>
      </c>
      <c r="I20" s="80"/>
      <c r="J20" s="95">
        <f t="shared" si="2"/>
        <v>112</v>
      </c>
    </row>
    <row r="21">
      <c r="A21" s="75">
        <v>8.0</v>
      </c>
      <c r="B21" s="76" t="s">
        <v>568</v>
      </c>
      <c r="C21" s="75" t="s">
        <v>552</v>
      </c>
      <c r="D21" s="77">
        <v>0.03</v>
      </c>
      <c r="E21" s="75" t="s">
        <v>148</v>
      </c>
      <c r="F21" s="75" t="s">
        <v>547</v>
      </c>
      <c r="G21" s="75" t="s">
        <v>537</v>
      </c>
      <c r="H21" s="134">
        <v>18500.0</v>
      </c>
      <c r="I21" s="80"/>
      <c r="J21" s="89">
        <f t="shared" si="2"/>
        <v>555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3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2000.0</v>
      </c>
      <c r="I29" s="88"/>
      <c r="J29" s="39">
        <f t="shared" si="3"/>
        <v>2000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1500.0</v>
      </c>
      <c r="I30" s="88"/>
      <c r="J30" s="39">
        <f t="shared" si="3"/>
        <v>1500</v>
      </c>
    </row>
    <row r="31">
      <c r="A31" s="20"/>
      <c r="B31" s="20"/>
      <c r="C31" s="33"/>
      <c r="D31" s="69"/>
      <c r="E31" s="20"/>
      <c r="F31" s="35"/>
      <c r="G31" s="20"/>
      <c r="H31" s="62"/>
      <c r="I31" s="33"/>
      <c r="J31" s="35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578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SUM(J10:J12)</f>
        <v>13814.58333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SUM(J15:J22)</f>
        <v>3517.366667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SUM(J29:J32)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23581.95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483</v>
      </c>
      <c r="C10" s="75" t="s">
        <v>552</v>
      </c>
      <c r="D10" s="77">
        <f>1/5</f>
        <v>0.2</v>
      </c>
      <c r="E10" s="75" t="s">
        <v>148</v>
      </c>
      <c r="F10" s="78" t="s">
        <v>536</v>
      </c>
      <c r="G10" s="75" t="s">
        <v>484</v>
      </c>
      <c r="H10" s="79">
        <v>47500.0</v>
      </c>
      <c r="I10" s="81"/>
      <c r="J10" s="39">
        <f t="shared" ref="J10:J12" si="1">D10*H10</f>
        <v>9500</v>
      </c>
    </row>
    <row r="11">
      <c r="A11" s="75">
        <v>2.0</v>
      </c>
      <c r="B11" s="129" t="s">
        <v>485</v>
      </c>
      <c r="C11" s="75" t="s">
        <v>552</v>
      </c>
      <c r="D11" s="77">
        <f>1.15/20</f>
        <v>0.0575</v>
      </c>
      <c r="E11" s="75" t="s">
        <v>148</v>
      </c>
      <c r="F11" s="78" t="s">
        <v>580</v>
      </c>
      <c r="G11" s="75" t="s">
        <v>484</v>
      </c>
      <c r="H11" s="79">
        <v>47500.0</v>
      </c>
      <c r="I11" s="81"/>
      <c r="J11" s="39">
        <f t="shared" si="1"/>
        <v>2731.25</v>
      </c>
    </row>
    <row r="12">
      <c r="A12" s="75">
        <v>3.0</v>
      </c>
      <c r="B12" s="129" t="s">
        <v>581</v>
      </c>
      <c r="C12" s="75" t="s">
        <v>552</v>
      </c>
      <c r="D12" s="77">
        <f>0.4/12</f>
        <v>0.03333333333</v>
      </c>
      <c r="E12" s="75" t="s">
        <v>148</v>
      </c>
      <c r="F12" s="78" t="s">
        <v>539</v>
      </c>
      <c r="G12" s="75" t="s">
        <v>484</v>
      </c>
      <c r="H12" s="79">
        <v>47500.0</v>
      </c>
      <c r="I12" s="81"/>
      <c r="J12" s="39">
        <f t="shared" si="1"/>
        <v>1583.333333</v>
      </c>
    </row>
    <row r="13">
      <c r="A13" s="40" t="s">
        <v>31</v>
      </c>
      <c r="J13" s="40"/>
    </row>
    <row r="14">
      <c r="A14" s="41" t="s">
        <v>10</v>
      </c>
      <c r="B14" s="41" t="s">
        <v>11</v>
      </c>
      <c r="C14" s="41" t="s">
        <v>12</v>
      </c>
      <c r="D14" s="41" t="s">
        <v>13</v>
      </c>
      <c r="E14" s="41" t="s">
        <v>14</v>
      </c>
      <c r="F14" s="41" t="s">
        <v>32</v>
      </c>
      <c r="G14" s="41" t="s">
        <v>16</v>
      </c>
      <c r="H14" s="41" t="s">
        <v>17</v>
      </c>
      <c r="I14" s="41" t="s">
        <v>18</v>
      </c>
      <c r="J14" s="41" t="s">
        <v>19</v>
      </c>
    </row>
    <row r="15">
      <c r="A15" s="75">
        <v>1.0</v>
      </c>
      <c r="B15" s="76" t="s">
        <v>33</v>
      </c>
      <c r="C15" s="75" t="s">
        <v>21</v>
      </c>
      <c r="D15" s="77">
        <f>1/150</f>
        <v>0.006666666667</v>
      </c>
      <c r="E15" s="75" t="s">
        <v>35</v>
      </c>
      <c r="F15" s="75" t="s">
        <v>473</v>
      </c>
      <c r="G15" s="75" t="s">
        <v>38</v>
      </c>
      <c r="H15" s="81">
        <v>25000.0</v>
      </c>
      <c r="I15" s="80"/>
      <c r="J15" s="39">
        <f t="shared" ref="J15:J26" si="2">D15*H15</f>
        <v>166.6666667</v>
      </c>
    </row>
    <row r="16">
      <c r="A16" s="75">
        <v>2.0</v>
      </c>
      <c r="B16" s="76" t="s">
        <v>39</v>
      </c>
      <c r="C16" s="75" t="s">
        <v>21</v>
      </c>
      <c r="D16" s="77">
        <f>4/200</f>
        <v>0.02</v>
      </c>
      <c r="E16" s="75" t="s">
        <v>40</v>
      </c>
      <c r="F16" s="75" t="s">
        <v>474</v>
      </c>
      <c r="G16" s="75" t="s">
        <v>38</v>
      </c>
      <c r="H16" s="81">
        <v>13000.0</v>
      </c>
      <c r="I16" s="80"/>
      <c r="J16" s="39">
        <f t="shared" si="2"/>
        <v>260</v>
      </c>
    </row>
    <row r="17">
      <c r="A17" s="75">
        <v>3.0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4.0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5.0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6.0</v>
      </c>
      <c r="B20" s="76" t="s">
        <v>476</v>
      </c>
      <c r="C20" s="75" t="s">
        <v>487</v>
      </c>
      <c r="D20" s="94">
        <v>1.0</v>
      </c>
      <c r="E20" s="75" t="s">
        <v>47</v>
      </c>
      <c r="F20" s="75"/>
      <c r="G20" s="75" t="s">
        <v>68</v>
      </c>
      <c r="H20" s="75">
        <v>2500.0</v>
      </c>
      <c r="I20" s="80"/>
      <c r="J20" s="89">
        <f t="shared" si="2"/>
        <v>2500</v>
      </c>
    </row>
    <row r="21">
      <c r="A21" s="75">
        <v>7.0</v>
      </c>
      <c r="B21" s="76" t="s">
        <v>478</v>
      </c>
      <c r="C21" s="75" t="s">
        <v>479</v>
      </c>
      <c r="D21" s="94">
        <v>1.0</v>
      </c>
      <c r="E21" s="75" t="s">
        <v>148</v>
      </c>
      <c r="F21" s="75" t="s">
        <v>480</v>
      </c>
      <c r="G21" s="75" t="s">
        <v>481</v>
      </c>
      <c r="H21" s="81">
        <f>28000/250</f>
        <v>112</v>
      </c>
      <c r="I21" s="80"/>
      <c r="J21" s="39">
        <f t="shared" si="2"/>
        <v>112</v>
      </c>
    </row>
    <row r="22">
      <c r="A22" s="75">
        <v>8.0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9.0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10.0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11.0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75">
        <v>12.0</v>
      </c>
      <c r="B26" s="76"/>
      <c r="C26" s="75"/>
      <c r="D26" s="83"/>
      <c r="E26" s="75"/>
      <c r="F26" s="75"/>
      <c r="G26" s="75"/>
      <c r="H26" s="81"/>
      <c r="I26" s="80"/>
      <c r="J26" s="39">
        <f t="shared" si="2"/>
        <v>0</v>
      </c>
    </row>
    <row r="27">
      <c r="A27" s="42" t="s">
        <v>63</v>
      </c>
      <c r="J27" s="42"/>
    </row>
    <row r="28">
      <c r="A28" s="43" t="s">
        <v>10</v>
      </c>
      <c r="B28" s="43" t="s">
        <v>64</v>
      </c>
      <c r="C28" s="84"/>
      <c r="D28" s="43" t="s">
        <v>13</v>
      </c>
      <c r="E28" s="43" t="s">
        <v>14</v>
      </c>
      <c r="F28" s="43" t="s">
        <v>32</v>
      </c>
      <c r="G28" s="43" t="s">
        <v>16</v>
      </c>
      <c r="H28" s="43" t="s">
        <v>65</v>
      </c>
      <c r="I28" s="85"/>
      <c r="J28" s="43" t="s">
        <v>19</v>
      </c>
    </row>
    <row r="29">
      <c r="A29" s="75">
        <v>1.0</v>
      </c>
      <c r="B29" s="75" t="s">
        <v>357</v>
      </c>
      <c r="C29" s="86"/>
      <c r="D29" s="87">
        <v>1.0</v>
      </c>
      <c r="E29" s="75" t="s">
        <v>47</v>
      </c>
      <c r="F29" s="86"/>
      <c r="G29" s="75" t="s">
        <v>68</v>
      </c>
      <c r="H29" s="81">
        <v>750.0</v>
      </c>
      <c r="I29" s="88"/>
      <c r="J29" s="39">
        <f t="shared" ref="J29:J32" si="3">D29*H29</f>
        <v>750</v>
      </c>
    </row>
    <row r="30">
      <c r="A30" s="75">
        <v>2.0</v>
      </c>
      <c r="B30" s="75" t="s">
        <v>360</v>
      </c>
      <c r="C30" s="86"/>
      <c r="D30" s="87">
        <v>1.0</v>
      </c>
      <c r="E30" s="75" t="s">
        <v>47</v>
      </c>
      <c r="F30" s="86"/>
      <c r="G30" s="75" t="s">
        <v>68</v>
      </c>
      <c r="H30" s="81">
        <v>2500.0</v>
      </c>
      <c r="I30" s="88"/>
      <c r="J30" s="39">
        <f t="shared" si="3"/>
        <v>2500</v>
      </c>
    </row>
    <row r="31">
      <c r="A31" s="75">
        <v>3.0</v>
      </c>
      <c r="B31" s="75" t="s">
        <v>362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  <row r="32">
      <c r="A32" s="75">
        <v>4.0</v>
      </c>
      <c r="B32" s="75" t="s">
        <v>476</v>
      </c>
      <c r="C32" s="86"/>
      <c r="D32" s="87">
        <v>1.0</v>
      </c>
      <c r="E32" s="75" t="s">
        <v>47</v>
      </c>
      <c r="F32" s="89"/>
      <c r="G32" s="75" t="s">
        <v>68</v>
      </c>
      <c r="H32" s="81">
        <v>1500.0</v>
      </c>
      <c r="I32" s="88"/>
      <c r="J32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579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14962.5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3517.366667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23229.86667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483</v>
      </c>
      <c r="C10" s="75" t="s">
        <v>552</v>
      </c>
      <c r="D10" s="77">
        <f>1/4</f>
        <v>0.25</v>
      </c>
      <c r="E10" s="75" t="s">
        <v>148</v>
      </c>
      <c r="F10" s="78" t="s">
        <v>542</v>
      </c>
      <c r="G10" s="75" t="s">
        <v>484</v>
      </c>
      <c r="H10" s="79">
        <v>47500.0</v>
      </c>
      <c r="I10" s="81"/>
      <c r="J10" s="39">
        <f t="shared" ref="J10:J11" si="1">D10*H10</f>
        <v>11875</v>
      </c>
    </row>
    <row r="11">
      <c r="A11" s="75">
        <v>2.0</v>
      </c>
      <c r="B11" s="129" t="s">
        <v>485</v>
      </c>
      <c r="C11" s="75" t="s">
        <v>552</v>
      </c>
      <c r="D11" s="77">
        <f>1.3/20</f>
        <v>0.065</v>
      </c>
      <c r="E11" s="75" t="s">
        <v>148</v>
      </c>
      <c r="F11" s="78" t="s">
        <v>582</v>
      </c>
      <c r="G11" s="75" t="s">
        <v>484</v>
      </c>
      <c r="H11" s="79">
        <v>47500.0</v>
      </c>
      <c r="I11" s="81"/>
      <c r="J11" s="39">
        <f t="shared" si="1"/>
        <v>3087.5</v>
      </c>
    </row>
    <row r="12">
      <c r="A12" s="75">
        <v>3.0</v>
      </c>
      <c r="B12" s="129" t="s">
        <v>581</v>
      </c>
      <c r="C12" s="75" t="s">
        <v>552</v>
      </c>
      <c r="D12" s="77">
        <f>0.4/12</f>
        <v>0.03333333333</v>
      </c>
      <c r="E12" s="75" t="s">
        <v>148</v>
      </c>
      <c r="F12" s="78" t="s">
        <v>539</v>
      </c>
      <c r="G12" s="75" t="s">
        <v>484</v>
      </c>
      <c r="H12" s="79">
        <v>47500.0</v>
      </c>
      <c r="I12" s="81"/>
      <c r="J12" s="89"/>
    </row>
    <row r="13">
      <c r="A13" s="40" t="s">
        <v>31</v>
      </c>
      <c r="J13" s="40"/>
    </row>
    <row r="14">
      <c r="A14" s="41" t="s">
        <v>10</v>
      </c>
      <c r="B14" s="41" t="s">
        <v>11</v>
      </c>
      <c r="C14" s="41" t="s">
        <v>12</v>
      </c>
      <c r="D14" s="41" t="s">
        <v>13</v>
      </c>
      <c r="E14" s="41" t="s">
        <v>14</v>
      </c>
      <c r="F14" s="41" t="s">
        <v>32</v>
      </c>
      <c r="G14" s="41" t="s">
        <v>16</v>
      </c>
      <c r="H14" s="41" t="s">
        <v>17</v>
      </c>
      <c r="I14" s="41" t="s">
        <v>18</v>
      </c>
      <c r="J14" s="41" t="s">
        <v>19</v>
      </c>
    </row>
    <row r="15">
      <c r="A15" s="75">
        <v>1.0</v>
      </c>
      <c r="B15" s="76" t="s">
        <v>33</v>
      </c>
      <c r="C15" s="75" t="s">
        <v>21</v>
      </c>
      <c r="D15" s="77">
        <f>1/150</f>
        <v>0.006666666667</v>
      </c>
      <c r="E15" s="75" t="s">
        <v>35</v>
      </c>
      <c r="F15" s="75" t="s">
        <v>473</v>
      </c>
      <c r="G15" s="75" t="s">
        <v>38</v>
      </c>
      <c r="H15" s="81">
        <v>25000.0</v>
      </c>
      <c r="I15" s="80"/>
      <c r="J15" s="39">
        <f t="shared" ref="J15:J26" si="2">D15*H15</f>
        <v>166.6666667</v>
      </c>
    </row>
    <row r="16">
      <c r="A16" s="75">
        <v>2.0</v>
      </c>
      <c r="B16" s="76" t="s">
        <v>39</v>
      </c>
      <c r="C16" s="75" t="s">
        <v>21</v>
      </c>
      <c r="D16" s="77">
        <f>4/200</f>
        <v>0.02</v>
      </c>
      <c r="E16" s="75" t="s">
        <v>40</v>
      </c>
      <c r="F16" s="75" t="s">
        <v>474</v>
      </c>
      <c r="G16" s="75" t="s">
        <v>38</v>
      </c>
      <c r="H16" s="81">
        <v>13000.0</v>
      </c>
      <c r="I16" s="80"/>
      <c r="J16" s="39">
        <f t="shared" si="2"/>
        <v>260</v>
      </c>
    </row>
    <row r="17">
      <c r="A17" s="75">
        <v>3.0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4.0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5.0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6.0</v>
      </c>
      <c r="B20" s="76" t="s">
        <v>476</v>
      </c>
      <c r="C20" s="75" t="s">
        <v>487</v>
      </c>
      <c r="D20" s="94">
        <v>1.0</v>
      </c>
      <c r="E20" s="75" t="s">
        <v>47</v>
      </c>
      <c r="F20" s="75"/>
      <c r="G20" s="75" t="s">
        <v>68</v>
      </c>
      <c r="H20" s="75">
        <v>2500.0</v>
      </c>
      <c r="I20" s="80"/>
      <c r="J20" s="89">
        <f t="shared" si="2"/>
        <v>2500</v>
      </c>
    </row>
    <row r="21">
      <c r="A21" s="75">
        <v>7.0</v>
      </c>
      <c r="B21" s="76" t="s">
        <v>478</v>
      </c>
      <c r="C21" s="75" t="s">
        <v>479</v>
      </c>
      <c r="D21" s="94">
        <v>1.0</v>
      </c>
      <c r="E21" s="75" t="s">
        <v>148</v>
      </c>
      <c r="F21" s="75" t="s">
        <v>480</v>
      </c>
      <c r="G21" s="75" t="s">
        <v>481</v>
      </c>
      <c r="H21" s="81">
        <f>28000/250</f>
        <v>112</v>
      </c>
      <c r="I21" s="80"/>
      <c r="J21" s="39">
        <f t="shared" si="2"/>
        <v>112</v>
      </c>
    </row>
    <row r="22">
      <c r="A22" s="75">
        <v>8.0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9.0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10.0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11.0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75">
        <v>12.0</v>
      </c>
      <c r="B26" s="76"/>
      <c r="C26" s="75"/>
      <c r="D26" s="83"/>
      <c r="E26" s="75"/>
      <c r="F26" s="75"/>
      <c r="G26" s="75"/>
      <c r="H26" s="81"/>
      <c r="I26" s="80"/>
      <c r="J26" s="39">
        <f t="shared" si="2"/>
        <v>0</v>
      </c>
    </row>
    <row r="27">
      <c r="A27" s="42" t="s">
        <v>63</v>
      </c>
      <c r="J27" s="42"/>
    </row>
    <row r="28">
      <c r="A28" s="43" t="s">
        <v>10</v>
      </c>
      <c r="B28" s="43" t="s">
        <v>64</v>
      </c>
      <c r="C28" s="84"/>
      <c r="D28" s="43" t="s">
        <v>13</v>
      </c>
      <c r="E28" s="43" t="s">
        <v>14</v>
      </c>
      <c r="F28" s="43" t="s">
        <v>32</v>
      </c>
      <c r="G28" s="43" t="s">
        <v>16</v>
      </c>
      <c r="H28" s="43" t="s">
        <v>65</v>
      </c>
      <c r="I28" s="85"/>
      <c r="J28" s="43" t="s">
        <v>19</v>
      </c>
    </row>
    <row r="29">
      <c r="A29" s="75">
        <v>1.0</v>
      </c>
      <c r="B29" s="75" t="s">
        <v>357</v>
      </c>
      <c r="C29" s="86"/>
      <c r="D29" s="87">
        <v>1.0</v>
      </c>
      <c r="E29" s="75" t="s">
        <v>47</v>
      </c>
      <c r="F29" s="86"/>
      <c r="G29" s="75" t="s">
        <v>68</v>
      </c>
      <c r="H29" s="81">
        <v>750.0</v>
      </c>
      <c r="I29" s="88"/>
      <c r="J29" s="39">
        <f t="shared" ref="J29:J32" si="3">D29*H29</f>
        <v>750</v>
      </c>
    </row>
    <row r="30">
      <c r="A30" s="75">
        <v>2.0</v>
      </c>
      <c r="B30" s="75" t="s">
        <v>360</v>
      </c>
      <c r="C30" s="86"/>
      <c r="D30" s="87">
        <v>1.0</v>
      </c>
      <c r="E30" s="75" t="s">
        <v>47</v>
      </c>
      <c r="F30" s="86"/>
      <c r="G30" s="75" t="s">
        <v>68</v>
      </c>
      <c r="H30" s="81">
        <v>2500.0</v>
      </c>
      <c r="I30" s="88"/>
      <c r="J30" s="39">
        <f t="shared" si="3"/>
        <v>2500</v>
      </c>
    </row>
    <row r="31">
      <c r="A31" s="75">
        <v>3.0</v>
      </c>
      <c r="B31" s="75" t="s">
        <v>362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  <row r="32">
      <c r="A32" s="75">
        <v>4.0</v>
      </c>
      <c r="B32" s="75" t="s">
        <v>476</v>
      </c>
      <c r="C32" s="86"/>
      <c r="D32" s="87">
        <v>1.0</v>
      </c>
      <c r="E32" s="75" t="s">
        <v>47</v>
      </c>
      <c r="F32" s="89"/>
      <c r="G32" s="75" t="s">
        <v>68</v>
      </c>
      <c r="H32" s="81">
        <v>1500.0</v>
      </c>
      <c r="I32" s="88"/>
      <c r="J32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583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SUM(J10:J12)</f>
        <v>18416.66667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9304.866667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32971.53333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584</v>
      </c>
      <c r="C10" s="75" t="s">
        <v>552</v>
      </c>
      <c r="D10" s="77">
        <f>1/5</f>
        <v>0.2</v>
      </c>
      <c r="E10" s="75" t="s">
        <v>148</v>
      </c>
      <c r="F10" s="78" t="s">
        <v>536</v>
      </c>
      <c r="G10" s="75" t="s">
        <v>391</v>
      </c>
      <c r="H10" s="79">
        <v>65000.0</v>
      </c>
      <c r="I10" s="81"/>
      <c r="J10" s="39">
        <f t="shared" ref="J10:J12" si="1">D10*H10</f>
        <v>13000</v>
      </c>
    </row>
    <row r="11">
      <c r="A11" s="75">
        <v>2.0</v>
      </c>
      <c r="B11" s="129" t="s">
        <v>585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391</v>
      </c>
      <c r="H11" s="79">
        <v>65000.0</v>
      </c>
      <c r="I11" s="81"/>
      <c r="J11" s="39">
        <f t="shared" si="1"/>
        <v>2166.666667</v>
      </c>
    </row>
    <row r="12">
      <c r="A12" s="19">
        <v>3.0</v>
      </c>
      <c r="B12" s="76" t="s">
        <v>587</v>
      </c>
      <c r="C12" s="75" t="s">
        <v>552</v>
      </c>
      <c r="D12" s="135">
        <f>1/20</f>
        <v>0.05</v>
      </c>
      <c r="E12" s="101" t="s">
        <v>128</v>
      </c>
      <c r="F12" s="55" t="s">
        <v>588</v>
      </c>
      <c r="G12" s="75" t="s">
        <v>391</v>
      </c>
      <c r="H12" s="55">
        <v>65000.0</v>
      </c>
      <c r="I12" s="20"/>
      <c r="J12" s="136">
        <f t="shared" si="1"/>
        <v>3250</v>
      </c>
    </row>
    <row r="13">
      <c r="A13" s="40" t="s">
        <v>31</v>
      </c>
      <c r="J13" s="40"/>
    </row>
    <row r="14">
      <c r="A14" s="41" t="s">
        <v>10</v>
      </c>
      <c r="B14" s="41" t="s">
        <v>11</v>
      </c>
      <c r="C14" s="41" t="s">
        <v>12</v>
      </c>
      <c r="D14" s="41" t="s">
        <v>13</v>
      </c>
      <c r="E14" s="41" t="s">
        <v>14</v>
      </c>
      <c r="F14" s="41" t="s">
        <v>32</v>
      </c>
      <c r="G14" s="41" t="s">
        <v>16</v>
      </c>
      <c r="H14" s="41" t="s">
        <v>17</v>
      </c>
      <c r="I14" s="41" t="s">
        <v>18</v>
      </c>
      <c r="J14" s="41" t="s">
        <v>19</v>
      </c>
    </row>
    <row r="15">
      <c r="A15" s="75">
        <v>1.0</v>
      </c>
      <c r="B15" s="76" t="s">
        <v>33</v>
      </c>
      <c r="C15" s="75" t="s">
        <v>21</v>
      </c>
      <c r="D15" s="77">
        <f>1/150</f>
        <v>0.006666666667</v>
      </c>
      <c r="E15" s="75" t="s">
        <v>35</v>
      </c>
      <c r="F15" s="75" t="s">
        <v>473</v>
      </c>
      <c r="G15" s="75" t="s">
        <v>38</v>
      </c>
      <c r="H15" s="81">
        <v>25000.0</v>
      </c>
      <c r="I15" s="80"/>
      <c r="J15" s="39">
        <f t="shared" ref="J15:J26" si="2">D15*H15</f>
        <v>166.6666667</v>
      </c>
    </row>
    <row r="16">
      <c r="A16" s="75">
        <v>2.0</v>
      </c>
      <c r="B16" s="76" t="s">
        <v>39</v>
      </c>
      <c r="C16" s="75" t="s">
        <v>21</v>
      </c>
      <c r="D16" s="77">
        <f>4/200</f>
        <v>0.02</v>
      </c>
      <c r="E16" s="75" t="s">
        <v>40</v>
      </c>
      <c r="F16" s="75" t="s">
        <v>474</v>
      </c>
      <c r="G16" s="75" t="s">
        <v>38</v>
      </c>
      <c r="H16" s="81">
        <v>13000.0</v>
      </c>
      <c r="I16" s="80"/>
      <c r="J16" s="39">
        <f t="shared" si="2"/>
        <v>260</v>
      </c>
    </row>
    <row r="17">
      <c r="A17" s="75">
        <v>3.0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4.0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5.0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6.0</v>
      </c>
      <c r="B20" s="76" t="s">
        <v>126</v>
      </c>
      <c r="C20" s="75" t="s">
        <v>552</v>
      </c>
      <c r="D20" s="94">
        <f>D10+D11+D12</f>
        <v>0.2833333333</v>
      </c>
      <c r="E20" s="75" t="s">
        <v>47</v>
      </c>
      <c r="F20" s="75"/>
      <c r="G20" s="75" t="s">
        <v>68</v>
      </c>
      <c r="H20" s="75">
        <f>19500*1.5</f>
        <v>29250</v>
      </c>
      <c r="I20" s="80"/>
      <c r="J20" s="89">
        <f t="shared" si="2"/>
        <v>8287.5</v>
      </c>
    </row>
    <row r="21">
      <c r="A21" s="75">
        <v>7.0</v>
      </c>
      <c r="B21" s="76" t="s">
        <v>478</v>
      </c>
      <c r="C21" s="75" t="s">
        <v>479</v>
      </c>
      <c r="D21" s="94">
        <v>1.0</v>
      </c>
      <c r="E21" s="75" t="s">
        <v>148</v>
      </c>
      <c r="F21" s="75" t="s">
        <v>480</v>
      </c>
      <c r="G21" s="75" t="s">
        <v>481</v>
      </c>
      <c r="H21" s="81">
        <f>28000/250</f>
        <v>112</v>
      </c>
      <c r="I21" s="80"/>
      <c r="J21" s="95">
        <f t="shared" si="2"/>
        <v>112</v>
      </c>
    </row>
    <row r="22">
      <c r="A22" s="75">
        <v>8.0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9.0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10.0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11.0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75">
        <v>12.0</v>
      </c>
      <c r="B26" s="76"/>
      <c r="C26" s="75"/>
      <c r="D26" s="83"/>
      <c r="E26" s="75"/>
      <c r="F26" s="75"/>
      <c r="G26" s="75"/>
      <c r="H26" s="81"/>
      <c r="I26" s="80"/>
      <c r="J26" s="39">
        <f t="shared" si="2"/>
        <v>0</v>
      </c>
    </row>
    <row r="27">
      <c r="A27" s="42" t="s">
        <v>63</v>
      </c>
      <c r="J27" s="42"/>
    </row>
    <row r="28">
      <c r="A28" s="43" t="s">
        <v>10</v>
      </c>
      <c r="B28" s="43" t="s">
        <v>64</v>
      </c>
      <c r="C28" s="84"/>
      <c r="D28" s="43" t="s">
        <v>13</v>
      </c>
      <c r="E28" s="43" t="s">
        <v>14</v>
      </c>
      <c r="F28" s="43" t="s">
        <v>32</v>
      </c>
      <c r="G28" s="43" t="s">
        <v>16</v>
      </c>
      <c r="H28" s="43" t="s">
        <v>65</v>
      </c>
      <c r="I28" s="85"/>
      <c r="J28" s="43" t="s">
        <v>19</v>
      </c>
    </row>
    <row r="29">
      <c r="A29" s="75">
        <v>1.0</v>
      </c>
      <c r="B29" s="75" t="s">
        <v>357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1750.0</v>
      </c>
      <c r="I29" s="88"/>
      <c r="J29" s="39">
        <f t="shared" ref="J29:J31" si="3">D29*H29</f>
        <v>1750</v>
      </c>
    </row>
    <row r="30">
      <c r="A30" s="75">
        <v>2.0</v>
      </c>
      <c r="B30" s="75" t="s">
        <v>360</v>
      </c>
      <c r="C30" s="86"/>
      <c r="D30" s="87">
        <v>1.0</v>
      </c>
      <c r="E30" s="75" t="s">
        <v>47</v>
      </c>
      <c r="F30" s="86"/>
      <c r="G30" s="75" t="s">
        <v>68</v>
      </c>
      <c r="H30" s="81">
        <v>2000.0</v>
      </c>
      <c r="I30" s="88"/>
      <c r="J30" s="39">
        <f t="shared" si="3"/>
        <v>2000</v>
      </c>
    </row>
    <row r="31">
      <c r="A31" s="75">
        <v>3.0</v>
      </c>
      <c r="B31" s="75" t="s">
        <v>362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586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18416.66667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11206.11667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34872.78333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584</v>
      </c>
      <c r="C10" s="75" t="s">
        <v>552</v>
      </c>
      <c r="D10" s="77">
        <f>1/4</f>
        <v>0.25</v>
      </c>
      <c r="E10" s="75" t="s">
        <v>148</v>
      </c>
      <c r="F10" s="78" t="s">
        <v>542</v>
      </c>
      <c r="G10" s="75" t="s">
        <v>391</v>
      </c>
      <c r="H10" s="79">
        <v>65000.0</v>
      </c>
      <c r="I10" s="81"/>
      <c r="J10" s="39">
        <f t="shared" ref="J10:J12" si="1">D10*H10</f>
        <v>16250</v>
      </c>
    </row>
    <row r="11">
      <c r="A11" s="75">
        <v>2.0</v>
      </c>
      <c r="B11" s="129" t="s">
        <v>585</v>
      </c>
      <c r="C11" s="75" t="s">
        <v>552</v>
      </c>
      <c r="D11" s="77">
        <f>0.4/12</f>
        <v>0.03333333333</v>
      </c>
      <c r="E11" s="75" t="s">
        <v>148</v>
      </c>
      <c r="F11" s="78" t="s">
        <v>539</v>
      </c>
      <c r="G11" s="75" t="s">
        <v>391</v>
      </c>
      <c r="H11" s="79">
        <v>65000.0</v>
      </c>
      <c r="I11" s="81"/>
      <c r="J11" s="39">
        <f t="shared" si="1"/>
        <v>2166.666667</v>
      </c>
    </row>
    <row r="12">
      <c r="A12" s="19">
        <v>3.0</v>
      </c>
      <c r="B12" s="76" t="s">
        <v>587</v>
      </c>
      <c r="C12" s="75" t="s">
        <v>552</v>
      </c>
      <c r="D12" s="135">
        <f>1.3/20</f>
        <v>0.065</v>
      </c>
      <c r="E12" s="101" t="s">
        <v>128</v>
      </c>
      <c r="F12" s="55" t="s">
        <v>544</v>
      </c>
      <c r="G12" s="75" t="s">
        <v>391</v>
      </c>
      <c r="H12" s="55">
        <v>65000.0</v>
      </c>
      <c r="I12" s="20"/>
      <c r="J12" s="136">
        <f t="shared" si="1"/>
        <v>4225</v>
      </c>
    </row>
    <row r="13">
      <c r="A13" s="40" t="s">
        <v>31</v>
      </c>
      <c r="J13" s="40"/>
    </row>
    <row r="14">
      <c r="A14" s="41" t="s">
        <v>10</v>
      </c>
      <c r="B14" s="41" t="s">
        <v>11</v>
      </c>
      <c r="C14" s="41" t="s">
        <v>12</v>
      </c>
      <c r="D14" s="41" t="s">
        <v>13</v>
      </c>
      <c r="E14" s="41" t="s">
        <v>14</v>
      </c>
      <c r="F14" s="41" t="s">
        <v>32</v>
      </c>
      <c r="G14" s="41" t="s">
        <v>16</v>
      </c>
      <c r="H14" s="41" t="s">
        <v>17</v>
      </c>
      <c r="I14" s="41" t="s">
        <v>18</v>
      </c>
      <c r="J14" s="41" t="s">
        <v>19</v>
      </c>
    </row>
    <row r="15">
      <c r="A15" s="75">
        <v>1.0</v>
      </c>
      <c r="B15" s="76" t="s">
        <v>33</v>
      </c>
      <c r="C15" s="75" t="s">
        <v>21</v>
      </c>
      <c r="D15" s="77">
        <f>1/150</f>
        <v>0.006666666667</v>
      </c>
      <c r="E15" s="75" t="s">
        <v>35</v>
      </c>
      <c r="F15" s="75" t="s">
        <v>473</v>
      </c>
      <c r="G15" s="75" t="s">
        <v>38</v>
      </c>
      <c r="H15" s="81">
        <v>25000.0</v>
      </c>
      <c r="I15" s="80"/>
      <c r="J15" s="39">
        <f t="shared" ref="J15:J26" si="2">D15*H15</f>
        <v>166.6666667</v>
      </c>
    </row>
    <row r="16">
      <c r="A16" s="75">
        <v>2.0</v>
      </c>
      <c r="B16" s="76" t="s">
        <v>39</v>
      </c>
      <c r="C16" s="75" t="s">
        <v>21</v>
      </c>
      <c r="D16" s="77">
        <f>4/200</f>
        <v>0.02</v>
      </c>
      <c r="E16" s="75" t="s">
        <v>40</v>
      </c>
      <c r="F16" s="75" t="s">
        <v>474</v>
      </c>
      <c r="G16" s="75" t="s">
        <v>38</v>
      </c>
      <c r="H16" s="81">
        <v>13000.0</v>
      </c>
      <c r="I16" s="80"/>
      <c r="J16" s="39">
        <f t="shared" si="2"/>
        <v>260</v>
      </c>
    </row>
    <row r="17">
      <c r="A17" s="75">
        <v>3.0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4.0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5.0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6.0</v>
      </c>
      <c r="B20" s="76" t="s">
        <v>126</v>
      </c>
      <c r="C20" s="75" t="s">
        <v>552</v>
      </c>
      <c r="D20" s="94">
        <f>D10+D11+D12</f>
        <v>0.3483333333</v>
      </c>
      <c r="E20" s="75" t="s">
        <v>47</v>
      </c>
      <c r="F20" s="75"/>
      <c r="G20" s="75" t="s">
        <v>68</v>
      </c>
      <c r="H20" s="75">
        <f>19500*1.5</f>
        <v>29250</v>
      </c>
      <c r="I20" s="80"/>
      <c r="J20" s="89">
        <f t="shared" si="2"/>
        <v>10188.75</v>
      </c>
    </row>
    <row r="21">
      <c r="A21" s="75">
        <v>7.0</v>
      </c>
      <c r="B21" s="76" t="s">
        <v>478</v>
      </c>
      <c r="C21" s="75" t="s">
        <v>479</v>
      </c>
      <c r="D21" s="94">
        <v>1.0</v>
      </c>
      <c r="E21" s="75" t="s">
        <v>148</v>
      </c>
      <c r="F21" s="75" t="s">
        <v>480</v>
      </c>
      <c r="G21" s="75" t="s">
        <v>481</v>
      </c>
      <c r="H21" s="81">
        <f>28000/250</f>
        <v>112</v>
      </c>
      <c r="I21" s="80"/>
      <c r="J21" s="95">
        <f t="shared" si="2"/>
        <v>112</v>
      </c>
    </row>
    <row r="22">
      <c r="A22" s="75">
        <v>8.0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9.0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10.0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11.0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75">
        <v>12.0</v>
      </c>
      <c r="B26" s="76"/>
      <c r="C26" s="75"/>
      <c r="D26" s="83"/>
      <c r="E26" s="75"/>
      <c r="F26" s="75"/>
      <c r="G26" s="75"/>
      <c r="H26" s="81"/>
      <c r="I26" s="80"/>
      <c r="J26" s="39">
        <f t="shared" si="2"/>
        <v>0</v>
      </c>
    </row>
    <row r="27">
      <c r="A27" s="42" t="s">
        <v>63</v>
      </c>
      <c r="J27" s="42"/>
    </row>
    <row r="28">
      <c r="A28" s="43" t="s">
        <v>10</v>
      </c>
      <c r="B28" s="43" t="s">
        <v>64</v>
      </c>
      <c r="C28" s="84"/>
      <c r="D28" s="43" t="s">
        <v>13</v>
      </c>
      <c r="E28" s="43" t="s">
        <v>14</v>
      </c>
      <c r="F28" s="43" t="s">
        <v>32</v>
      </c>
      <c r="G28" s="43" t="s">
        <v>16</v>
      </c>
      <c r="H28" s="43" t="s">
        <v>65</v>
      </c>
      <c r="I28" s="85"/>
      <c r="J28" s="43" t="s">
        <v>19</v>
      </c>
    </row>
    <row r="29">
      <c r="A29" s="75">
        <v>1.0</v>
      </c>
      <c r="B29" s="75" t="s">
        <v>357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1750.0</v>
      </c>
      <c r="I29" s="88"/>
      <c r="J29" s="39">
        <f t="shared" ref="J29:J31" si="3">D29*H29</f>
        <v>1750</v>
      </c>
    </row>
    <row r="30">
      <c r="A30" s="75">
        <v>2.0</v>
      </c>
      <c r="B30" s="75" t="s">
        <v>360</v>
      </c>
      <c r="C30" s="86"/>
      <c r="D30" s="87">
        <v>1.0</v>
      </c>
      <c r="E30" s="75" t="s">
        <v>47</v>
      </c>
      <c r="F30" s="86"/>
      <c r="G30" s="75" t="s">
        <v>68</v>
      </c>
      <c r="H30" s="81">
        <v>2000.0</v>
      </c>
      <c r="I30" s="88"/>
      <c r="J30" s="39">
        <f t="shared" si="3"/>
        <v>2000</v>
      </c>
    </row>
    <row r="31">
      <c r="A31" s="75">
        <v>3.0</v>
      </c>
      <c r="B31" s="75" t="s">
        <v>362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590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905.3666667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6155.366667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75">
        <v>1.0</v>
      </c>
      <c r="B10" s="76" t="s">
        <v>4</v>
      </c>
      <c r="C10" s="75"/>
      <c r="D10" s="77"/>
      <c r="E10" s="75"/>
      <c r="F10" s="78"/>
      <c r="G10" s="75"/>
      <c r="H10" s="79"/>
      <c r="I10" s="81"/>
      <c r="J10" s="39">
        <f t="shared" ref="J10:J12" si="1">D10*H10</f>
        <v>0</v>
      </c>
    </row>
    <row r="11">
      <c r="A11" s="75">
        <v>2.0</v>
      </c>
      <c r="B11" s="129" t="s">
        <v>595</v>
      </c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19">
        <v>3.0</v>
      </c>
      <c r="B12" s="76" t="s">
        <v>314</v>
      </c>
      <c r="C12" s="20"/>
      <c r="D12" s="135"/>
      <c r="E12" s="101"/>
      <c r="F12" s="55"/>
      <c r="G12" s="75"/>
      <c r="H12" s="55"/>
      <c r="I12" s="20"/>
      <c r="J12" s="136">
        <f t="shared" si="1"/>
        <v>0</v>
      </c>
    </row>
    <row r="13">
      <c r="A13" s="40" t="s">
        <v>31</v>
      </c>
      <c r="J13" s="40"/>
    </row>
    <row r="14">
      <c r="A14" s="41" t="s">
        <v>10</v>
      </c>
      <c r="B14" s="41" t="s">
        <v>11</v>
      </c>
      <c r="C14" s="41" t="s">
        <v>12</v>
      </c>
      <c r="D14" s="41" t="s">
        <v>13</v>
      </c>
      <c r="E14" s="41" t="s">
        <v>14</v>
      </c>
      <c r="F14" s="41" t="s">
        <v>32</v>
      </c>
      <c r="G14" s="41" t="s">
        <v>16</v>
      </c>
      <c r="H14" s="41" t="s">
        <v>17</v>
      </c>
      <c r="I14" s="41" t="s">
        <v>18</v>
      </c>
      <c r="J14" s="41" t="s">
        <v>19</v>
      </c>
    </row>
    <row r="15">
      <c r="A15" s="75">
        <v>1.0</v>
      </c>
      <c r="B15" s="76" t="s">
        <v>33</v>
      </c>
      <c r="C15" s="75" t="s">
        <v>21</v>
      </c>
      <c r="D15" s="77">
        <f>1/150</f>
        <v>0.006666666667</v>
      </c>
      <c r="E15" s="75" t="s">
        <v>35</v>
      </c>
      <c r="F15" s="75" t="s">
        <v>473</v>
      </c>
      <c r="G15" s="75" t="s">
        <v>38</v>
      </c>
      <c r="H15" s="81">
        <v>25000.0</v>
      </c>
      <c r="I15" s="80"/>
      <c r="J15" s="39">
        <f t="shared" ref="J15:J26" si="2">D15*H15</f>
        <v>166.6666667</v>
      </c>
    </row>
    <row r="16">
      <c r="A16" s="75">
        <v>2.0</v>
      </c>
      <c r="B16" s="76" t="s">
        <v>39</v>
      </c>
      <c r="C16" s="75" t="s">
        <v>21</v>
      </c>
      <c r="D16" s="77">
        <f>4/200</f>
        <v>0.02</v>
      </c>
      <c r="E16" s="75" t="s">
        <v>40</v>
      </c>
      <c r="F16" s="75" t="s">
        <v>474</v>
      </c>
      <c r="G16" s="75" t="s">
        <v>38</v>
      </c>
      <c r="H16" s="81">
        <v>13000.0</v>
      </c>
      <c r="I16" s="80"/>
      <c r="J16" s="39">
        <f t="shared" si="2"/>
        <v>260</v>
      </c>
    </row>
    <row r="17">
      <c r="A17" s="75">
        <v>3.0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4.0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5.0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6.0</v>
      </c>
      <c r="B20" s="76" t="s">
        <v>126</v>
      </c>
      <c r="C20" s="75"/>
      <c r="D20" s="94"/>
      <c r="E20" s="75"/>
      <c r="F20" s="75"/>
      <c r="G20" s="75"/>
      <c r="H20" s="75"/>
      <c r="I20" s="80"/>
      <c r="J20" s="89">
        <f t="shared" si="2"/>
        <v>0</v>
      </c>
    </row>
    <row r="21">
      <c r="A21" s="75">
        <v>7.0</v>
      </c>
      <c r="B21" s="76" t="s">
        <v>478</v>
      </c>
      <c r="C21" s="75"/>
      <c r="D21" s="94"/>
      <c r="E21" s="75"/>
      <c r="F21" s="75"/>
      <c r="G21" s="75"/>
      <c r="H21" s="81"/>
      <c r="I21" s="80"/>
      <c r="J21" s="95">
        <f t="shared" si="2"/>
        <v>0</v>
      </c>
    </row>
    <row r="22">
      <c r="A22" s="75">
        <v>8.0</v>
      </c>
      <c r="B22" s="76" t="s">
        <v>546</v>
      </c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9.0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10.0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11.0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75">
        <v>12.0</v>
      </c>
      <c r="B26" s="76"/>
      <c r="C26" s="75"/>
      <c r="D26" s="83"/>
      <c r="E26" s="75"/>
      <c r="F26" s="75"/>
      <c r="G26" s="75"/>
      <c r="H26" s="81"/>
      <c r="I26" s="80"/>
      <c r="J26" s="39">
        <f t="shared" si="2"/>
        <v>0</v>
      </c>
    </row>
    <row r="27">
      <c r="A27" s="42" t="s">
        <v>63</v>
      </c>
      <c r="J27" s="42"/>
    </row>
    <row r="28">
      <c r="A28" s="43" t="s">
        <v>10</v>
      </c>
      <c r="B28" s="43" t="s">
        <v>64</v>
      </c>
      <c r="C28" s="84"/>
      <c r="D28" s="43" t="s">
        <v>13</v>
      </c>
      <c r="E28" s="43" t="s">
        <v>14</v>
      </c>
      <c r="F28" s="43" t="s">
        <v>32</v>
      </c>
      <c r="G28" s="43" t="s">
        <v>16</v>
      </c>
      <c r="H28" s="43" t="s">
        <v>65</v>
      </c>
      <c r="I28" s="85"/>
      <c r="J28" s="43" t="s">
        <v>19</v>
      </c>
    </row>
    <row r="29">
      <c r="A29" s="75">
        <v>1.0</v>
      </c>
      <c r="B29" s="75" t="s">
        <v>357</v>
      </c>
      <c r="C29" s="86"/>
      <c r="D29" s="87">
        <v>1.0</v>
      </c>
      <c r="E29" s="75" t="s">
        <v>47</v>
      </c>
      <c r="F29" s="86"/>
      <c r="G29" s="75" t="s">
        <v>68</v>
      </c>
      <c r="H29" s="81">
        <v>1750.0</v>
      </c>
      <c r="I29" s="88"/>
      <c r="J29" s="39">
        <f t="shared" ref="J29:J31" si="3">D29*H29</f>
        <v>1750</v>
      </c>
    </row>
    <row r="30">
      <c r="A30" s="75">
        <v>2.0</v>
      </c>
      <c r="B30" s="75" t="s">
        <v>360</v>
      </c>
      <c r="C30" s="86"/>
      <c r="D30" s="87">
        <v>1.0</v>
      </c>
      <c r="E30" s="75" t="s">
        <v>47</v>
      </c>
      <c r="F30" s="86"/>
      <c r="G30" s="75" t="s">
        <v>68</v>
      </c>
      <c r="H30" s="81">
        <v>2000.0</v>
      </c>
      <c r="I30" s="88"/>
      <c r="J30" s="39">
        <f t="shared" si="3"/>
        <v>2000</v>
      </c>
    </row>
    <row r="31">
      <c r="A31" s="75">
        <v>3.0</v>
      </c>
      <c r="B31" s="75" t="s">
        <v>362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3:I13"/>
    <mergeCell ref="A27:I27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589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9685.714286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3714.533333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19650.24762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591</v>
      </c>
      <c r="C10" s="75" t="s">
        <v>592</v>
      </c>
      <c r="D10" s="77">
        <f>0.6/7</f>
        <v>0.08571428571</v>
      </c>
      <c r="E10" s="75" t="s">
        <v>148</v>
      </c>
      <c r="F10" s="78" t="s">
        <v>593</v>
      </c>
      <c r="G10" s="75" t="s">
        <v>594</v>
      </c>
      <c r="H10" s="79">
        <v>113000.0</v>
      </c>
      <c r="I10" s="81"/>
      <c r="J10" s="39">
        <f t="shared" ref="J10:J11" si="1">D10*H10</f>
        <v>9685.714286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603</v>
      </c>
      <c r="C20" s="75" t="s">
        <v>60</v>
      </c>
      <c r="D20" s="94">
        <f>0.25/100</f>
        <v>0.0025</v>
      </c>
      <c r="E20" s="75" t="s">
        <v>23</v>
      </c>
      <c r="F20" s="75" t="s">
        <v>605</v>
      </c>
      <c r="G20" s="75" t="s">
        <v>606</v>
      </c>
      <c r="H20" s="81">
        <v>35000.0</v>
      </c>
      <c r="I20" s="80"/>
      <c r="J20" s="95">
        <f t="shared" si="2"/>
        <v>87.5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750.0</v>
      </c>
      <c r="I31" s="88"/>
      <c r="J31" s="39">
        <f t="shared" si="3"/>
        <v>750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604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22600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3714.533333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32564.53333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607</v>
      </c>
      <c r="C10" s="75" t="s">
        <v>608</v>
      </c>
      <c r="D10" s="77">
        <f>1/5</f>
        <v>0.2</v>
      </c>
      <c r="E10" s="75" t="s">
        <v>148</v>
      </c>
      <c r="F10" s="78" t="s">
        <v>609</v>
      </c>
      <c r="G10" s="75" t="s">
        <v>594</v>
      </c>
      <c r="H10" s="79">
        <v>113000.0</v>
      </c>
      <c r="I10" s="81"/>
      <c r="J10" s="39">
        <f t="shared" ref="J10:J11" si="1">D10*H10</f>
        <v>22600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603</v>
      </c>
      <c r="C20" s="75" t="s">
        <v>60</v>
      </c>
      <c r="D20" s="94">
        <f>0.25/100</f>
        <v>0.0025</v>
      </c>
      <c r="E20" s="75" t="s">
        <v>23</v>
      </c>
      <c r="F20" s="75" t="s">
        <v>605</v>
      </c>
      <c r="G20" s="75" t="s">
        <v>606</v>
      </c>
      <c r="H20" s="81">
        <v>35000.0</v>
      </c>
      <c r="I20" s="80"/>
      <c r="J20" s="95">
        <f t="shared" si="2"/>
        <v>87.5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750.0</v>
      </c>
      <c r="I31" s="88"/>
      <c r="J31" s="39">
        <f t="shared" si="3"/>
        <v>750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611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6085.714286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3714.533333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16050.24762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613</v>
      </c>
      <c r="C10" s="75" t="s">
        <v>21</v>
      </c>
      <c r="D10" s="77">
        <f>0.6/7</f>
        <v>0.08571428571</v>
      </c>
      <c r="E10" s="75" t="s">
        <v>148</v>
      </c>
      <c r="F10" s="78" t="s">
        <v>593</v>
      </c>
      <c r="G10" s="75" t="s">
        <v>594</v>
      </c>
      <c r="H10" s="79">
        <v>71000.0</v>
      </c>
      <c r="I10" s="81"/>
      <c r="J10" s="39">
        <f t="shared" ref="J10:J11" si="1">D10*H10</f>
        <v>6085.714286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603</v>
      </c>
      <c r="C20" s="75" t="s">
        <v>60</v>
      </c>
      <c r="D20" s="94">
        <f>0.25/100</f>
        <v>0.0025</v>
      </c>
      <c r="E20" s="75" t="s">
        <v>23</v>
      </c>
      <c r="F20" s="75" t="s">
        <v>605</v>
      </c>
      <c r="G20" s="75" t="s">
        <v>606</v>
      </c>
      <c r="H20" s="81">
        <v>35000.0</v>
      </c>
      <c r="I20" s="80"/>
      <c r="J20" s="95">
        <f t="shared" si="2"/>
        <v>87.5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750.0</v>
      </c>
      <c r="I31" s="88"/>
      <c r="J31" s="39">
        <f t="shared" si="3"/>
        <v>750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610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14200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3714.533333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24164.53333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607</v>
      </c>
      <c r="C10" s="75" t="s">
        <v>608</v>
      </c>
      <c r="D10" s="77">
        <f>1/5</f>
        <v>0.2</v>
      </c>
      <c r="E10" s="75" t="s">
        <v>148</v>
      </c>
      <c r="F10" s="78" t="s">
        <v>609</v>
      </c>
      <c r="G10" s="75" t="s">
        <v>594</v>
      </c>
      <c r="H10" s="79">
        <v>71000.0</v>
      </c>
      <c r="I10" s="81"/>
      <c r="J10" s="39">
        <f t="shared" ref="J10:J11" si="1">D10*H10</f>
        <v>14200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603</v>
      </c>
      <c r="C20" s="75" t="s">
        <v>60</v>
      </c>
      <c r="D20" s="94">
        <f>0.25/100</f>
        <v>0.0025</v>
      </c>
      <c r="E20" s="75" t="s">
        <v>23</v>
      </c>
      <c r="F20" s="75" t="s">
        <v>605</v>
      </c>
      <c r="G20" s="75" t="s">
        <v>606</v>
      </c>
      <c r="H20" s="81">
        <v>35000.0</v>
      </c>
      <c r="I20" s="80"/>
      <c r="J20" s="95">
        <f t="shared" si="2"/>
        <v>87.5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750.0</v>
      </c>
      <c r="I31" s="88"/>
      <c r="J31" s="39">
        <f t="shared" si="3"/>
        <v>750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612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1671.428571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3714.533333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11635.9619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614</v>
      </c>
      <c r="C10" s="75" t="s">
        <v>21</v>
      </c>
      <c r="D10" s="77">
        <f>0.6/7</f>
        <v>0.08571428571</v>
      </c>
      <c r="E10" s="75" t="s">
        <v>148</v>
      </c>
      <c r="F10" s="78" t="s">
        <v>593</v>
      </c>
      <c r="G10" s="75" t="s">
        <v>594</v>
      </c>
      <c r="H10" s="79">
        <v>19500.0</v>
      </c>
      <c r="I10" s="81"/>
      <c r="J10" s="39">
        <f t="shared" ref="J10:J11" si="1">D10*H10</f>
        <v>1671.428571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603</v>
      </c>
      <c r="C20" s="75" t="s">
        <v>60</v>
      </c>
      <c r="D20" s="94">
        <f>0.25/100</f>
        <v>0.0025</v>
      </c>
      <c r="E20" s="75" t="s">
        <v>23</v>
      </c>
      <c r="F20" s="75" t="s">
        <v>605</v>
      </c>
      <c r="G20" s="75" t="s">
        <v>606</v>
      </c>
      <c r="H20" s="81">
        <v>35000.0</v>
      </c>
      <c r="I20" s="80"/>
      <c r="J20" s="95">
        <f t="shared" si="2"/>
        <v>87.5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750.0</v>
      </c>
      <c r="I31" s="88"/>
      <c r="J31" s="39">
        <f t="shared" si="3"/>
        <v>750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615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3900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3714.533333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13864.53333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614</v>
      </c>
      <c r="C10" s="75" t="s">
        <v>21</v>
      </c>
      <c r="D10" s="77">
        <f>1/5</f>
        <v>0.2</v>
      </c>
      <c r="E10" s="75" t="s">
        <v>148</v>
      </c>
      <c r="F10" s="78" t="s">
        <v>609</v>
      </c>
      <c r="G10" s="75" t="s">
        <v>594</v>
      </c>
      <c r="H10" s="79">
        <v>19500.0</v>
      </c>
      <c r="I10" s="81"/>
      <c r="J10" s="39">
        <f t="shared" ref="J10:J11" si="1">D10*H10</f>
        <v>3900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603</v>
      </c>
      <c r="C20" s="75" t="s">
        <v>60</v>
      </c>
      <c r="D20" s="94">
        <f>0.25/100</f>
        <v>0.0025</v>
      </c>
      <c r="E20" s="75" t="s">
        <v>23</v>
      </c>
      <c r="F20" s="75" t="s">
        <v>605</v>
      </c>
      <c r="G20" s="75" t="s">
        <v>606</v>
      </c>
      <c r="H20" s="81">
        <v>35000.0</v>
      </c>
      <c r="I20" s="80"/>
      <c r="J20" s="95">
        <f t="shared" si="2"/>
        <v>87.5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750.0</v>
      </c>
      <c r="I31" s="88"/>
      <c r="J31" s="39">
        <f t="shared" si="3"/>
        <v>750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616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3625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3714.533333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13839.53333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618</v>
      </c>
      <c r="C10" s="75" t="s">
        <v>21</v>
      </c>
      <c r="D10" s="78">
        <f>0.75/6</f>
        <v>0.125</v>
      </c>
      <c r="E10" s="75" t="s">
        <v>148</v>
      </c>
      <c r="F10" s="78" t="s">
        <v>619</v>
      </c>
      <c r="G10" s="75" t="s">
        <v>620</v>
      </c>
      <c r="H10" s="79">
        <v>29000.0</v>
      </c>
      <c r="I10" s="81"/>
      <c r="J10" s="39">
        <f t="shared" ref="J10:J11" si="1">D10*H10</f>
        <v>3625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603</v>
      </c>
      <c r="C20" s="75" t="s">
        <v>60</v>
      </c>
      <c r="D20" s="94">
        <f>0.25/100</f>
        <v>0.0025</v>
      </c>
      <c r="E20" s="75" t="s">
        <v>23</v>
      </c>
      <c r="F20" s="75" t="s">
        <v>605</v>
      </c>
      <c r="G20" s="75" t="s">
        <v>606</v>
      </c>
      <c r="H20" s="81">
        <v>35000.0</v>
      </c>
      <c r="I20" s="80"/>
      <c r="J20" s="95">
        <f t="shared" si="2"/>
        <v>87.5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/>
      <c r="F31" s="89"/>
      <c r="G31" s="75" t="s">
        <v>68</v>
      </c>
      <c r="H31" s="81">
        <v>1000.0</v>
      </c>
      <c r="I31" s="88"/>
      <c r="J31" s="39">
        <f t="shared" si="3"/>
        <v>1000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617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2875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SUM(J14:J23)</f>
        <v>14464.53333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8500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25839.53333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622</v>
      </c>
      <c r="C10" s="75" t="s">
        <v>21</v>
      </c>
      <c r="D10" s="78">
        <f t="shared" ref="D10:D11" si="1">0.75/6</f>
        <v>0.125</v>
      </c>
      <c r="E10" s="75" t="s">
        <v>148</v>
      </c>
      <c r="F10" s="78" t="s">
        <v>619</v>
      </c>
      <c r="G10" s="75" t="s">
        <v>623</v>
      </c>
      <c r="H10" s="79">
        <v>14000.0</v>
      </c>
      <c r="I10" s="81"/>
      <c r="J10" s="39">
        <f t="shared" ref="J10:J11" si="2">D10*H10</f>
        <v>1750</v>
      </c>
    </row>
    <row r="11">
      <c r="A11" s="75">
        <v>2.0</v>
      </c>
      <c r="B11" s="76" t="s">
        <v>624</v>
      </c>
      <c r="C11" s="75" t="s">
        <v>21</v>
      </c>
      <c r="D11" s="78">
        <f t="shared" si="1"/>
        <v>0.125</v>
      </c>
      <c r="E11" s="75" t="s">
        <v>148</v>
      </c>
      <c r="F11" s="78" t="s">
        <v>625</v>
      </c>
      <c r="G11" s="75" t="s">
        <v>626</v>
      </c>
      <c r="H11" s="81">
        <v>9000.0</v>
      </c>
      <c r="I11" s="81"/>
      <c r="J11" s="39">
        <f t="shared" si="2"/>
        <v>1125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3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3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3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3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3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3"/>
        <v>1500</v>
      </c>
    </row>
    <row r="20">
      <c r="A20" s="75">
        <v>7.0</v>
      </c>
      <c r="B20" s="76" t="s">
        <v>603</v>
      </c>
      <c r="C20" s="75" t="s">
        <v>60</v>
      </c>
      <c r="D20" s="94">
        <f>0.25/100</f>
        <v>0.0025</v>
      </c>
      <c r="E20" s="75" t="s">
        <v>23</v>
      </c>
      <c r="F20" s="75" t="s">
        <v>605</v>
      </c>
      <c r="G20" s="75" t="s">
        <v>606</v>
      </c>
      <c r="H20" s="81">
        <v>35000.0</v>
      </c>
      <c r="I20" s="80"/>
      <c r="J20" s="95">
        <f t="shared" si="3"/>
        <v>87.5</v>
      </c>
    </row>
    <row r="21">
      <c r="A21" s="75">
        <v>8.0</v>
      </c>
      <c r="B21" s="76" t="s">
        <v>629</v>
      </c>
      <c r="C21" s="75" t="s">
        <v>552</v>
      </c>
      <c r="D21" s="77">
        <f t="shared" ref="D21:D22" si="4">1/4</f>
        <v>0.25</v>
      </c>
      <c r="E21" s="75" t="s">
        <v>128</v>
      </c>
      <c r="F21" s="75" t="s">
        <v>630</v>
      </c>
      <c r="G21" s="75" t="s">
        <v>448</v>
      </c>
      <c r="H21" s="81">
        <v>34000.0</v>
      </c>
      <c r="I21" s="80"/>
      <c r="J21" s="39">
        <f t="shared" si="3"/>
        <v>8500</v>
      </c>
    </row>
    <row r="22">
      <c r="A22" s="75">
        <v>9.0</v>
      </c>
      <c r="B22" s="76" t="s">
        <v>624</v>
      </c>
      <c r="C22" s="75" t="s">
        <v>552</v>
      </c>
      <c r="D22" s="77">
        <f t="shared" si="4"/>
        <v>0.25</v>
      </c>
      <c r="E22" s="75" t="s">
        <v>148</v>
      </c>
      <c r="F22" s="75"/>
      <c r="G22" s="75" t="s">
        <v>626</v>
      </c>
      <c r="H22" s="81">
        <v>9000.0</v>
      </c>
      <c r="I22" s="80"/>
      <c r="J22" s="39">
        <f t="shared" si="3"/>
        <v>2250</v>
      </c>
    </row>
    <row r="23">
      <c r="A23" s="75">
        <v>10.0</v>
      </c>
      <c r="B23" s="76" t="s">
        <v>161</v>
      </c>
      <c r="C23" s="75" t="s">
        <v>552</v>
      </c>
      <c r="D23" s="83">
        <v>0.0</v>
      </c>
      <c r="E23" s="75" t="s">
        <v>47</v>
      </c>
      <c r="F23" s="75"/>
      <c r="G23" s="75" t="s">
        <v>187</v>
      </c>
      <c r="H23" s="81">
        <v>10000.0</v>
      </c>
      <c r="I23" s="80"/>
      <c r="J23" s="39">
        <f t="shared" si="3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5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5000.0</v>
      </c>
      <c r="I29" s="88"/>
      <c r="J29" s="39">
        <f t="shared" si="5"/>
        <v>5000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5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1000.0</v>
      </c>
      <c r="I31" s="88"/>
      <c r="J31" s="39">
        <f t="shared" si="5"/>
        <v>1000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621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2937.5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10364.53333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18802.03333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627</v>
      </c>
      <c r="C10" s="75" t="s">
        <v>21</v>
      </c>
      <c r="D10" s="78">
        <f>0.75/6</f>
        <v>0.125</v>
      </c>
      <c r="E10" s="75" t="s">
        <v>148</v>
      </c>
      <c r="F10" s="78" t="s">
        <v>619</v>
      </c>
      <c r="G10" s="75" t="s">
        <v>628</v>
      </c>
      <c r="H10" s="79">
        <v>23500.0</v>
      </c>
      <c r="I10" s="81"/>
      <c r="J10" s="39">
        <f t="shared" ref="J10:J11" si="1">D10*H10</f>
        <v>2937.5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126</v>
      </c>
      <c r="C20" s="75" t="s">
        <v>60</v>
      </c>
      <c r="D20" s="94">
        <f>1/4</f>
        <v>0.25</v>
      </c>
      <c r="E20" s="75" t="s">
        <v>23</v>
      </c>
      <c r="F20" s="75" t="s">
        <v>633</v>
      </c>
      <c r="G20" s="75" t="s">
        <v>634</v>
      </c>
      <c r="H20" s="81">
        <v>26950.0</v>
      </c>
      <c r="I20" s="80"/>
      <c r="J20" s="95">
        <f t="shared" si="2"/>
        <v>6737.5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0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631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2937.5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3714.533333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13152.03333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627</v>
      </c>
      <c r="C10" s="75" t="s">
        <v>21</v>
      </c>
      <c r="D10" s="78">
        <f>0.75/6</f>
        <v>0.125</v>
      </c>
      <c r="E10" s="75" t="s">
        <v>148</v>
      </c>
      <c r="F10" s="78" t="s">
        <v>619</v>
      </c>
      <c r="G10" s="75" t="s">
        <v>628</v>
      </c>
      <c r="H10" s="79">
        <v>23500.0</v>
      </c>
      <c r="I10" s="81"/>
      <c r="J10" s="39">
        <f t="shared" ref="J10:J11" si="1">D10*H10</f>
        <v>2937.5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603</v>
      </c>
      <c r="C20" s="75" t="s">
        <v>60</v>
      </c>
      <c r="D20" s="94">
        <f>0.25/100</f>
        <v>0.0025</v>
      </c>
      <c r="E20" s="75" t="s">
        <v>23</v>
      </c>
      <c r="F20" s="75" t="s">
        <v>605</v>
      </c>
      <c r="G20" s="75" t="s">
        <v>606</v>
      </c>
      <c r="H20" s="81">
        <v>35000.0</v>
      </c>
      <c r="I20" s="80"/>
      <c r="J20" s="95">
        <f t="shared" si="2"/>
        <v>87.5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1000.0</v>
      </c>
      <c r="I31" s="88"/>
      <c r="J31" s="39">
        <f t="shared" si="3"/>
        <v>1000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632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6062.5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5127.033333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7000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18189.53333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483</v>
      </c>
      <c r="C10" s="75" t="s">
        <v>21</v>
      </c>
      <c r="D10" s="78">
        <f>0.75/6</f>
        <v>0.125</v>
      </c>
      <c r="E10" s="75" t="s">
        <v>148</v>
      </c>
      <c r="F10" s="78" t="s">
        <v>619</v>
      </c>
      <c r="G10" s="75" t="s">
        <v>484</v>
      </c>
      <c r="H10" s="79">
        <v>48500.0</v>
      </c>
      <c r="I10" s="81"/>
      <c r="J10" s="39">
        <f t="shared" ref="J10:J11" si="1">D10*H10</f>
        <v>6062.5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487</v>
      </c>
      <c r="C20" s="75" t="s">
        <v>60</v>
      </c>
      <c r="D20" s="94">
        <v>0.01</v>
      </c>
      <c r="E20" s="75" t="s">
        <v>23</v>
      </c>
      <c r="F20" s="75" t="s">
        <v>605</v>
      </c>
      <c r="G20" s="75" t="s">
        <v>606</v>
      </c>
      <c r="H20" s="81">
        <v>150000.0</v>
      </c>
      <c r="I20" s="80"/>
      <c r="J20" s="95">
        <f t="shared" si="2"/>
        <v>1500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635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8125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10364.53333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23989.53333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492</v>
      </c>
      <c r="C10" s="75" t="s">
        <v>21</v>
      </c>
      <c r="D10" s="78">
        <f>0.75/6</f>
        <v>0.125</v>
      </c>
      <c r="E10" s="75" t="s">
        <v>148</v>
      </c>
      <c r="F10" s="78" t="s">
        <v>619</v>
      </c>
      <c r="G10" s="75" t="s">
        <v>391</v>
      </c>
      <c r="H10" s="79">
        <v>65000.0</v>
      </c>
      <c r="I10" s="81"/>
      <c r="J10" s="39">
        <f t="shared" ref="J10:J11" si="1">D10*H10</f>
        <v>8125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126</v>
      </c>
      <c r="C20" s="75" t="s">
        <v>60</v>
      </c>
      <c r="D20" s="94">
        <f>1/4</f>
        <v>0.25</v>
      </c>
      <c r="E20" s="75" t="s">
        <v>23</v>
      </c>
      <c r="F20" s="75" t="s">
        <v>633</v>
      </c>
      <c r="G20" s="75" t="s">
        <v>634</v>
      </c>
      <c r="H20" s="81">
        <v>26950.0</v>
      </c>
      <c r="I20" s="80"/>
      <c r="J20" s="95">
        <f t="shared" si="2"/>
        <v>6737.5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0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636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3866.666667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3714.533333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13081.2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618</v>
      </c>
      <c r="C10" s="75" t="s">
        <v>21</v>
      </c>
      <c r="D10" s="78">
        <f>0.8/6</f>
        <v>0.1333333333</v>
      </c>
      <c r="E10" s="75" t="s">
        <v>148</v>
      </c>
      <c r="F10" s="78" t="s">
        <v>637</v>
      </c>
      <c r="G10" s="75" t="s">
        <v>620</v>
      </c>
      <c r="H10" s="79">
        <v>29000.0</v>
      </c>
      <c r="I10" s="81"/>
      <c r="J10" s="39">
        <f t="shared" ref="J10:J11" si="1">D10*H10</f>
        <v>3866.666667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603</v>
      </c>
      <c r="C20" s="75" t="s">
        <v>60</v>
      </c>
      <c r="D20" s="94">
        <f>0.25/100</f>
        <v>0.0025</v>
      </c>
      <c r="E20" s="75" t="s">
        <v>23</v>
      </c>
      <c r="F20" s="75" t="s">
        <v>605</v>
      </c>
      <c r="G20" s="75" t="s">
        <v>606</v>
      </c>
      <c r="H20" s="81">
        <v>35000.0</v>
      </c>
      <c r="I20" s="80"/>
      <c r="J20" s="95">
        <f t="shared" si="2"/>
        <v>87.5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0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638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2991.666667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12214.53333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8500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23706.2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622</v>
      </c>
      <c r="C10" s="75" t="s">
        <v>21</v>
      </c>
      <c r="D10" s="78">
        <f>0.8/6</f>
        <v>0.1333333333</v>
      </c>
      <c r="E10" s="75" t="s">
        <v>148</v>
      </c>
      <c r="F10" s="78" t="s">
        <v>637</v>
      </c>
      <c r="G10" s="75" t="s">
        <v>623</v>
      </c>
      <c r="H10" s="79">
        <v>14000.0</v>
      </c>
      <c r="I10" s="81"/>
      <c r="J10" s="39">
        <f t="shared" ref="J10:J11" si="1">D10*H10</f>
        <v>1866.666667</v>
      </c>
    </row>
    <row r="11">
      <c r="A11" s="75">
        <v>2.0</v>
      </c>
      <c r="B11" s="76" t="s">
        <v>624</v>
      </c>
      <c r="C11" s="75" t="s">
        <v>21</v>
      </c>
      <c r="D11" s="78">
        <f>0.75/6</f>
        <v>0.125</v>
      </c>
      <c r="E11" s="75" t="s">
        <v>148</v>
      </c>
      <c r="F11" s="78" t="s">
        <v>625</v>
      </c>
      <c r="G11" s="75" t="s">
        <v>626</v>
      </c>
      <c r="H11" s="81">
        <v>9000.0</v>
      </c>
      <c r="I11" s="81"/>
      <c r="J11" s="39">
        <f t="shared" si="1"/>
        <v>1125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603</v>
      </c>
      <c r="C20" s="75" t="s">
        <v>60</v>
      </c>
      <c r="D20" s="94">
        <f>0.25/100</f>
        <v>0.0025</v>
      </c>
      <c r="E20" s="75" t="s">
        <v>23</v>
      </c>
      <c r="F20" s="75" t="s">
        <v>605</v>
      </c>
      <c r="G20" s="75" t="s">
        <v>606</v>
      </c>
      <c r="H20" s="81">
        <v>35000.0</v>
      </c>
      <c r="I20" s="80"/>
      <c r="J20" s="95">
        <f t="shared" si="2"/>
        <v>87.5</v>
      </c>
    </row>
    <row r="21">
      <c r="A21" s="75">
        <v>8.0</v>
      </c>
      <c r="B21" s="76" t="s">
        <v>629</v>
      </c>
      <c r="C21" s="75" t="s">
        <v>552</v>
      </c>
      <c r="D21" s="77">
        <f t="shared" ref="D21:D22" si="3">1/4</f>
        <v>0.25</v>
      </c>
      <c r="E21" s="75" t="s">
        <v>128</v>
      </c>
      <c r="F21" s="75" t="s">
        <v>630</v>
      </c>
      <c r="G21" s="75" t="s">
        <v>448</v>
      </c>
      <c r="H21" s="81">
        <v>34000.0</v>
      </c>
      <c r="I21" s="80"/>
      <c r="J21" s="39">
        <f t="shared" si="2"/>
        <v>8500</v>
      </c>
    </row>
    <row r="22">
      <c r="A22" s="75">
        <v>9.0</v>
      </c>
      <c r="B22" s="76" t="s">
        <v>624</v>
      </c>
      <c r="C22" s="75" t="s">
        <v>552</v>
      </c>
      <c r="D22" s="77">
        <f t="shared" si="3"/>
        <v>0.25</v>
      </c>
      <c r="E22" s="75" t="s">
        <v>148</v>
      </c>
      <c r="F22" s="75"/>
      <c r="G22" s="75" t="s">
        <v>626</v>
      </c>
      <c r="H22" s="81">
        <v>9000.0</v>
      </c>
      <c r="I22" s="80"/>
      <c r="J22" s="39">
        <f t="shared" si="2"/>
        <v>2250</v>
      </c>
    </row>
    <row r="23">
      <c r="A23" s="75">
        <v>10.0</v>
      </c>
      <c r="B23" s="76" t="s">
        <v>161</v>
      </c>
      <c r="C23" s="75" t="s">
        <v>552</v>
      </c>
      <c r="D23" s="83">
        <v>0.0</v>
      </c>
      <c r="E23" s="75" t="s">
        <v>47</v>
      </c>
      <c r="F23" s="75"/>
      <c r="G23" s="75" t="s">
        <v>187</v>
      </c>
      <c r="H23" s="81">
        <v>10000.0</v>
      </c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4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5000.0</v>
      </c>
      <c r="I29" s="88"/>
      <c r="J29" s="39">
        <f t="shared" si="4"/>
        <v>5000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4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/>
      <c r="F31" s="89"/>
      <c r="G31" s="75" t="s">
        <v>68</v>
      </c>
      <c r="H31" s="81">
        <v>1000.0</v>
      </c>
      <c r="I31" s="88"/>
      <c r="J31" s="39">
        <f t="shared" si="4"/>
        <v>1000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639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3133.333333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3714.533333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12347.86667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627</v>
      </c>
      <c r="C10" s="75" t="s">
        <v>21</v>
      </c>
      <c r="D10" s="78">
        <f>0.8/6</f>
        <v>0.1333333333</v>
      </c>
      <c r="E10" s="75" t="s">
        <v>148</v>
      </c>
      <c r="F10" s="78" t="s">
        <v>637</v>
      </c>
      <c r="G10" s="75" t="s">
        <v>628</v>
      </c>
      <c r="H10" s="79">
        <v>23500.0</v>
      </c>
      <c r="I10" s="81"/>
      <c r="J10" s="39">
        <f t="shared" ref="J10:J11" si="1">D10*H10</f>
        <v>3133.333333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603</v>
      </c>
      <c r="C20" s="75" t="s">
        <v>60</v>
      </c>
      <c r="D20" s="94">
        <f>0.25/100</f>
        <v>0.0025</v>
      </c>
      <c r="E20" s="75" t="s">
        <v>23</v>
      </c>
      <c r="F20" s="75" t="s">
        <v>605</v>
      </c>
      <c r="G20" s="75" t="s">
        <v>606</v>
      </c>
      <c r="H20" s="81">
        <v>35000.0</v>
      </c>
      <c r="I20" s="80"/>
      <c r="J20" s="95">
        <f t="shared" si="2"/>
        <v>87.5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0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639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3133.333333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10364.53333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18997.86667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627</v>
      </c>
      <c r="C10" s="75" t="s">
        <v>21</v>
      </c>
      <c r="D10" s="78">
        <f>0.8/6</f>
        <v>0.1333333333</v>
      </c>
      <c r="E10" s="75" t="s">
        <v>148</v>
      </c>
      <c r="F10" s="78" t="s">
        <v>637</v>
      </c>
      <c r="G10" s="75" t="s">
        <v>628</v>
      </c>
      <c r="H10" s="79">
        <v>23500.0</v>
      </c>
      <c r="I10" s="81"/>
      <c r="J10" s="39">
        <f t="shared" ref="J10:J11" si="1">D10*H10</f>
        <v>3133.333333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126</v>
      </c>
      <c r="C20" s="75" t="s">
        <v>60</v>
      </c>
      <c r="D20" s="94">
        <f>1/4</f>
        <v>0.25</v>
      </c>
      <c r="E20" s="75" t="s">
        <v>23</v>
      </c>
      <c r="F20" s="75" t="s">
        <v>633</v>
      </c>
      <c r="G20" s="75" t="s">
        <v>634</v>
      </c>
      <c r="H20" s="81">
        <v>26950.0</v>
      </c>
      <c r="I20" s="80"/>
      <c r="J20" s="95">
        <f t="shared" si="2"/>
        <v>6737.5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0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640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8666.666667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10364.53333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24531.2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492</v>
      </c>
      <c r="C10" s="75" t="s">
        <v>21</v>
      </c>
      <c r="D10" s="78">
        <f>0.8/6</f>
        <v>0.1333333333</v>
      </c>
      <c r="E10" s="75" t="s">
        <v>148</v>
      </c>
      <c r="F10" s="78" t="s">
        <v>637</v>
      </c>
      <c r="G10" s="75" t="s">
        <v>391</v>
      </c>
      <c r="H10" s="79">
        <v>65000.0</v>
      </c>
      <c r="I10" s="81"/>
      <c r="J10" s="39">
        <f t="shared" ref="J10:J11" si="1">D10*H10</f>
        <v>8666.666667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126</v>
      </c>
      <c r="C20" s="75" t="s">
        <v>60</v>
      </c>
      <c r="D20" s="94">
        <f>1/4</f>
        <v>0.25</v>
      </c>
      <c r="E20" s="75" t="s">
        <v>23</v>
      </c>
      <c r="F20" s="75" t="s">
        <v>633</v>
      </c>
      <c r="G20" s="75" t="s">
        <v>634</v>
      </c>
      <c r="H20" s="81">
        <v>26950.0</v>
      </c>
      <c r="I20" s="80"/>
      <c r="J20" s="95">
        <f t="shared" si="2"/>
        <v>6737.5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0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641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8666.666667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3627.033333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17793.7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643</v>
      </c>
      <c r="C10" s="75" t="s">
        <v>21</v>
      </c>
      <c r="D10" s="78">
        <f>0.8/6</f>
        <v>0.1333333333</v>
      </c>
      <c r="E10" s="75" t="s">
        <v>148</v>
      </c>
      <c r="F10" s="78" t="s">
        <v>637</v>
      </c>
      <c r="G10" s="75" t="s">
        <v>391</v>
      </c>
      <c r="H10" s="79">
        <v>65000.0</v>
      </c>
      <c r="I10" s="81"/>
      <c r="J10" s="39">
        <f t="shared" ref="J10:J11" si="1">D10*H10</f>
        <v>8666.666667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126</v>
      </c>
      <c r="C20" s="75" t="s">
        <v>60</v>
      </c>
      <c r="D20" s="94"/>
      <c r="E20" s="75" t="s">
        <v>148</v>
      </c>
      <c r="F20" s="75" t="s">
        <v>633</v>
      </c>
      <c r="G20" s="75" t="s">
        <v>634</v>
      </c>
      <c r="H20" s="81">
        <v>26950.0</v>
      </c>
      <c r="I20" s="80"/>
      <c r="J20" s="95">
        <f t="shared" si="2"/>
        <v>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0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642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3714.533333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9214.533333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 t="s">
        <v>21</v>
      </c>
      <c r="D10" s="77"/>
      <c r="E10" s="75" t="s">
        <v>148</v>
      </c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603</v>
      </c>
      <c r="C20" s="75" t="s">
        <v>60</v>
      </c>
      <c r="D20" s="94">
        <f>0.25/100</f>
        <v>0.0025</v>
      </c>
      <c r="E20" s="75" t="s">
        <v>23</v>
      </c>
      <c r="F20" s="75" t="s">
        <v>605</v>
      </c>
      <c r="G20" s="75" t="s">
        <v>606</v>
      </c>
      <c r="H20" s="81">
        <v>35000.0</v>
      </c>
      <c r="I20" s="80"/>
      <c r="J20" s="95">
        <f t="shared" si="2"/>
        <v>87.5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0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644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1516.666667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3714.533333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6500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11731.2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647</v>
      </c>
      <c r="C10" s="75" t="s">
        <v>21</v>
      </c>
      <c r="D10" s="77">
        <f t="shared" ref="D10:D11" si="1">0.84/18</f>
        <v>0.04666666667</v>
      </c>
      <c r="E10" s="75" t="s">
        <v>148</v>
      </c>
      <c r="F10" s="78" t="s">
        <v>648</v>
      </c>
      <c r="G10" s="75" t="s">
        <v>628</v>
      </c>
      <c r="H10" s="79">
        <v>23500.0</v>
      </c>
      <c r="I10" s="81"/>
      <c r="J10" s="39">
        <f t="shared" ref="J10:J11" si="2">D10*H10</f>
        <v>1096.666667</v>
      </c>
    </row>
    <row r="11">
      <c r="A11" s="75">
        <v>2.0</v>
      </c>
      <c r="B11" s="76" t="s">
        <v>624</v>
      </c>
      <c r="C11" s="75"/>
      <c r="D11" s="77">
        <f t="shared" si="1"/>
        <v>0.04666666667</v>
      </c>
      <c r="E11" s="75" t="s">
        <v>148</v>
      </c>
      <c r="F11" s="75"/>
      <c r="G11" s="75" t="s">
        <v>626</v>
      </c>
      <c r="H11" s="81">
        <v>9000.0</v>
      </c>
      <c r="I11" s="80"/>
      <c r="J11" s="39">
        <f t="shared" si="2"/>
        <v>420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3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3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3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3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3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3"/>
        <v>1500</v>
      </c>
    </row>
    <row r="20">
      <c r="A20" s="75">
        <v>7.0</v>
      </c>
      <c r="B20" s="76" t="s">
        <v>603</v>
      </c>
      <c r="C20" s="75" t="s">
        <v>60</v>
      </c>
      <c r="D20" s="94">
        <f>0.25/100</f>
        <v>0.0025</v>
      </c>
      <c r="E20" s="75" t="s">
        <v>23</v>
      </c>
      <c r="F20" s="75" t="s">
        <v>605</v>
      </c>
      <c r="G20" s="75" t="s">
        <v>606</v>
      </c>
      <c r="H20" s="81">
        <v>35000.0</v>
      </c>
      <c r="I20" s="80"/>
      <c r="J20" s="95">
        <f t="shared" si="3"/>
        <v>87.5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3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3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3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4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4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4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1000.0</v>
      </c>
      <c r="I31" s="88"/>
      <c r="J31" s="39">
        <f t="shared" si="4"/>
        <v>1000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645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1516.666667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3627.033333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9893.7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647</v>
      </c>
      <c r="C10" s="75" t="s">
        <v>21</v>
      </c>
      <c r="D10" s="77">
        <f t="shared" ref="D10:D11" si="1">0.84/18</f>
        <v>0.04666666667</v>
      </c>
      <c r="E10" s="75" t="s">
        <v>148</v>
      </c>
      <c r="F10" s="78" t="s">
        <v>648</v>
      </c>
      <c r="G10" s="75" t="s">
        <v>628</v>
      </c>
      <c r="H10" s="79">
        <v>23500.0</v>
      </c>
      <c r="I10" s="81"/>
      <c r="J10" s="39">
        <f t="shared" ref="J10:J11" si="2">D10*H10</f>
        <v>1096.666667</v>
      </c>
    </row>
    <row r="11">
      <c r="A11" s="75">
        <v>2.0</v>
      </c>
      <c r="B11" s="76" t="s">
        <v>624</v>
      </c>
      <c r="C11" s="75"/>
      <c r="D11" s="77">
        <f t="shared" si="1"/>
        <v>0.04666666667</v>
      </c>
      <c r="E11" s="75" t="s">
        <v>148</v>
      </c>
      <c r="F11" s="75"/>
      <c r="G11" s="75" t="s">
        <v>626</v>
      </c>
      <c r="H11" s="81">
        <v>9000.0</v>
      </c>
      <c r="I11" s="80"/>
      <c r="J11" s="39">
        <f t="shared" si="2"/>
        <v>420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3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3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3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3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3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3"/>
        <v>1500</v>
      </c>
    </row>
    <row r="20">
      <c r="A20" s="75">
        <v>7.0</v>
      </c>
      <c r="B20" s="76" t="s">
        <v>126</v>
      </c>
      <c r="C20" s="75" t="s">
        <v>60</v>
      </c>
      <c r="D20" s="94"/>
      <c r="E20" s="75" t="s">
        <v>148</v>
      </c>
      <c r="F20" s="75" t="s">
        <v>633</v>
      </c>
      <c r="G20" s="75" t="s">
        <v>634</v>
      </c>
      <c r="H20" s="81">
        <v>26950.0</v>
      </c>
      <c r="I20" s="80"/>
      <c r="J20" s="95">
        <f t="shared" si="3"/>
        <v>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3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3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3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4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2000.0</v>
      </c>
      <c r="I29" s="88"/>
      <c r="J29" s="39">
        <f t="shared" si="4"/>
        <v>2000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4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646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2683.333333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5127.033333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7000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14810.36667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483</v>
      </c>
      <c r="C10" s="75" t="s">
        <v>21</v>
      </c>
      <c r="D10" s="77">
        <f t="shared" ref="D10:D11" si="1">0.84/18</f>
        <v>0.04666666667</v>
      </c>
      <c r="E10" s="75" t="s">
        <v>148</v>
      </c>
      <c r="F10" s="78" t="s">
        <v>648</v>
      </c>
      <c r="G10" s="75" t="s">
        <v>484</v>
      </c>
      <c r="H10" s="79">
        <v>48500.0</v>
      </c>
      <c r="I10" s="81"/>
      <c r="J10" s="39">
        <f t="shared" ref="J10:J11" si="2">D10*H10</f>
        <v>2263.333333</v>
      </c>
    </row>
    <row r="11">
      <c r="A11" s="75">
        <v>2.0</v>
      </c>
      <c r="B11" s="76" t="s">
        <v>624</v>
      </c>
      <c r="C11" s="75" t="s">
        <v>552</v>
      </c>
      <c r="D11" s="77">
        <f t="shared" si="1"/>
        <v>0.04666666667</v>
      </c>
      <c r="E11" s="75" t="s">
        <v>148</v>
      </c>
      <c r="F11" s="78" t="s">
        <v>649</v>
      </c>
      <c r="G11" s="75" t="s">
        <v>626</v>
      </c>
      <c r="H11" s="81">
        <v>9000.0</v>
      </c>
      <c r="I11" s="80"/>
      <c r="J11" s="39">
        <f t="shared" si="2"/>
        <v>420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3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3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3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3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3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3"/>
        <v>1500</v>
      </c>
    </row>
    <row r="20">
      <c r="A20" s="75">
        <v>7.0</v>
      </c>
      <c r="B20" s="76" t="s">
        <v>487</v>
      </c>
      <c r="C20" s="75" t="s">
        <v>60</v>
      </c>
      <c r="D20" s="94">
        <v>0.01</v>
      </c>
      <c r="E20" s="75" t="s">
        <v>23</v>
      </c>
      <c r="F20" s="75" t="s">
        <v>605</v>
      </c>
      <c r="G20" s="75" t="s">
        <v>606</v>
      </c>
      <c r="H20" s="81">
        <v>150000.0</v>
      </c>
      <c r="I20" s="80"/>
      <c r="J20" s="95">
        <f t="shared" si="3"/>
        <v>1500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3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3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3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4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4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4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4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650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3453.333333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4884.7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13088.03333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492</v>
      </c>
      <c r="C10" s="75" t="s">
        <v>21</v>
      </c>
      <c r="D10" s="77">
        <f t="shared" ref="D10:D11" si="1">0.84/18</f>
        <v>0.04666666667</v>
      </c>
      <c r="E10" s="75" t="s">
        <v>148</v>
      </c>
      <c r="F10" s="78" t="s">
        <v>648</v>
      </c>
      <c r="G10" s="75" t="s">
        <v>391</v>
      </c>
      <c r="H10" s="79">
        <v>65000.0</v>
      </c>
      <c r="I10" s="81"/>
      <c r="J10" s="39">
        <f t="shared" ref="J10:J11" si="2">D10*H10</f>
        <v>3033.333333</v>
      </c>
    </row>
    <row r="11">
      <c r="A11" s="75">
        <v>2.0</v>
      </c>
      <c r="B11" s="76" t="s">
        <v>624</v>
      </c>
      <c r="C11" s="75"/>
      <c r="D11" s="77">
        <f t="shared" si="1"/>
        <v>0.04666666667</v>
      </c>
      <c r="E11" s="75" t="s">
        <v>148</v>
      </c>
      <c r="F11" s="75"/>
      <c r="G11" s="75" t="s">
        <v>626</v>
      </c>
      <c r="H11" s="81">
        <v>9000.0</v>
      </c>
      <c r="I11" s="80"/>
      <c r="J11" s="39">
        <f t="shared" si="2"/>
        <v>420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3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3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3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3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3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3"/>
        <v>1500</v>
      </c>
    </row>
    <row r="20">
      <c r="A20" s="75">
        <v>7.0</v>
      </c>
      <c r="B20" s="76" t="s">
        <v>126</v>
      </c>
      <c r="C20" s="75" t="s">
        <v>60</v>
      </c>
      <c r="D20" s="94">
        <f>D10</f>
        <v>0.04666666667</v>
      </c>
      <c r="E20" s="75" t="s">
        <v>148</v>
      </c>
      <c r="F20" s="75" t="s">
        <v>633</v>
      </c>
      <c r="G20" s="75" t="s">
        <v>634</v>
      </c>
      <c r="H20" s="81">
        <v>26950.0</v>
      </c>
      <c r="I20" s="80"/>
      <c r="J20" s="95">
        <f t="shared" si="3"/>
        <v>1257.666667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3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3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3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4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2000.0</v>
      </c>
      <c r="I29" s="88"/>
      <c r="J29" s="39">
        <f t="shared" si="4"/>
        <v>2000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4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651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2636.666667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5127.033333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7000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14763.7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483</v>
      </c>
      <c r="C10" s="75" t="s">
        <v>21</v>
      </c>
      <c r="D10" s="77">
        <f t="shared" ref="D10:D11" si="1">0.84/18</f>
        <v>0.04666666667</v>
      </c>
      <c r="E10" s="75" t="s">
        <v>148</v>
      </c>
      <c r="F10" s="78" t="s">
        <v>648</v>
      </c>
      <c r="G10" s="75" t="s">
        <v>484</v>
      </c>
      <c r="H10" s="79">
        <v>47500.0</v>
      </c>
      <c r="I10" s="81"/>
      <c r="J10" s="39">
        <f t="shared" ref="J10:J11" si="2">D10*H10</f>
        <v>2216.666667</v>
      </c>
    </row>
    <row r="11">
      <c r="A11" s="75">
        <v>2.0</v>
      </c>
      <c r="B11" s="76" t="s">
        <v>624</v>
      </c>
      <c r="C11" s="75"/>
      <c r="D11" s="77">
        <f t="shared" si="1"/>
        <v>0.04666666667</v>
      </c>
      <c r="E11" s="75" t="s">
        <v>148</v>
      </c>
      <c r="F11" s="75"/>
      <c r="G11" s="75" t="s">
        <v>626</v>
      </c>
      <c r="H11" s="81">
        <v>9000.0</v>
      </c>
      <c r="I11" s="80"/>
      <c r="J11" s="39">
        <f t="shared" si="2"/>
        <v>420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3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3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3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3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3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3"/>
        <v>1500</v>
      </c>
    </row>
    <row r="20">
      <c r="A20" s="75">
        <v>7.0</v>
      </c>
      <c r="B20" s="76" t="s">
        <v>487</v>
      </c>
      <c r="C20" s="75" t="s">
        <v>60</v>
      </c>
      <c r="D20" s="94">
        <v>0.01</v>
      </c>
      <c r="E20" s="75" t="s">
        <v>23</v>
      </c>
      <c r="F20" s="75" t="s">
        <v>605</v>
      </c>
      <c r="G20" s="75" t="s">
        <v>606</v>
      </c>
      <c r="H20" s="81">
        <v>150000.0</v>
      </c>
      <c r="I20" s="80"/>
      <c r="J20" s="95">
        <f t="shared" si="3"/>
        <v>1500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3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3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3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4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4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4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4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652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2520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4884.7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12154.7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498</v>
      </c>
      <c r="C10" s="75" t="s">
        <v>21</v>
      </c>
      <c r="D10" s="77">
        <f t="shared" ref="D10:D11" si="1">0.84/18</f>
        <v>0.04666666667</v>
      </c>
      <c r="E10" s="75" t="s">
        <v>148</v>
      </c>
      <c r="F10" s="78" t="s">
        <v>648</v>
      </c>
      <c r="G10" s="75" t="s">
        <v>391</v>
      </c>
      <c r="H10" s="79">
        <v>45000.0</v>
      </c>
      <c r="I10" s="81"/>
      <c r="J10" s="39">
        <f t="shared" ref="J10:J11" si="2">D10*H10</f>
        <v>2100</v>
      </c>
    </row>
    <row r="11">
      <c r="A11" s="75">
        <v>2.0</v>
      </c>
      <c r="B11" s="76" t="s">
        <v>624</v>
      </c>
      <c r="C11" s="75" t="s">
        <v>552</v>
      </c>
      <c r="D11" s="77">
        <f t="shared" si="1"/>
        <v>0.04666666667</v>
      </c>
      <c r="E11" s="75" t="s">
        <v>148</v>
      </c>
      <c r="F11" s="78" t="s">
        <v>649</v>
      </c>
      <c r="G11" s="75" t="s">
        <v>626</v>
      </c>
      <c r="H11" s="81">
        <v>9000.0</v>
      </c>
      <c r="I11" s="80"/>
      <c r="J11" s="39">
        <f t="shared" si="2"/>
        <v>420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3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3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3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3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3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3"/>
        <v>1500</v>
      </c>
    </row>
    <row r="20">
      <c r="A20" s="75">
        <v>7.0</v>
      </c>
      <c r="B20" s="76" t="s">
        <v>126</v>
      </c>
      <c r="C20" s="75" t="s">
        <v>60</v>
      </c>
      <c r="D20" s="94">
        <f>D10</f>
        <v>0.04666666667</v>
      </c>
      <c r="E20" s="75" t="s">
        <v>148</v>
      </c>
      <c r="F20" s="75" t="s">
        <v>633</v>
      </c>
      <c r="G20" s="75" t="s">
        <v>634</v>
      </c>
      <c r="H20" s="81">
        <v>26950.0</v>
      </c>
      <c r="I20" s="80"/>
      <c r="J20" s="95">
        <f t="shared" si="3"/>
        <v>1257.666667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3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3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3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4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2000.0</v>
      </c>
      <c r="I29" s="88"/>
      <c r="J29" s="39">
        <f t="shared" si="4"/>
        <v>2000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4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653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2870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5127.033333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7000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14997.03333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513</v>
      </c>
      <c r="C10" s="75" t="s">
        <v>21</v>
      </c>
      <c r="D10" s="77">
        <f t="shared" ref="D10:D11" si="1">0.84/18</f>
        <v>0.04666666667</v>
      </c>
      <c r="E10" s="75" t="s">
        <v>148</v>
      </c>
      <c r="F10" s="78" t="s">
        <v>648</v>
      </c>
      <c r="G10" s="75" t="s">
        <v>484</v>
      </c>
      <c r="H10" s="79">
        <v>52500.0</v>
      </c>
      <c r="I10" s="81"/>
      <c r="J10" s="39">
        <f t="shared" ref="J10:J11" si="2">D10*H10</f>
        <v>2450</v>
      </c>
    </row>
    <row r="11">
      <c r="A11" s="75">
        <v>2.0</v>
      </c>
      <c r="B11" s="76" t="s">
        <v>624</v>
      </c>
      <c r="C11" s="75"/>
      <c r="D11" s="77">
        <f t="shared" si="1"/>
        <v>0.04666666667</v>
      </c>
      <c r="E11" s="75" t="s">
        <v>148</v>
      </c>
      <c r="F11" s="75"/>
      <c r="G11" s="75" t="s">
        <v>626</v>
      </c>
      <c r="H11" s="81">
        <v>9000.0</v>
      </c>
      <c r="I11" s="80"/>
      <c r="J11" s="39">
        <f t="shared" si="2"/>
        <v>420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3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3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3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3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3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3"/>
        <v>1500</v>
      </c>
    </row>
    <row r="20">
      <c r="A20" s="75">
        <v>7.0</v>
      </c>
      <c r="B20" s="76" t="s">
        <v>487</v>
      </c>
      <c r="C20" s="75" t="s">
        <v>60</v>
      </c>
      <c r="D20" s="94">
        <v>0.01</v>
      </c>
      <c r="E20" s="75" t="s">
        <v>23</v>
      </c>
      <c r="F20" s="75" t="s">
        <v>605</v>
      </c>
      <c r="G20" s="75" t="s">
        <v>606</v>
      </c>
      <c r="H20" s="81">
        <v>150000.0</v>
      </c>
      <c r="I20" s="80"/>
      <c r="J20" s="95">
        <f t="shared" si="3"/>
        <v>1500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3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3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3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4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4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4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4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654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420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3627.033333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9547.033333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 t="s">
        <v>21</v>
      </c>
      <c r="D10" s="77">
        <f t="shared" ref="D10:D11" si="1">0.84/18</f>
        <v>0.04666666667</v>
      </c>
      <c r="E10" s="75" t="s">
        <v>148</v>
      </c>
      <c r="F10" s="78" t="s">
        <v>648</v>
      </c>
      <c r="G10" s="75"/>
      <c r="H10" s="79"/>
      <c r="I10" s="81"/>
      <c r="J10" s="39">
        <f t="shared" ref="J10:J11" si="2">D10*H10</f>
        <v>0</v>
      </c>
    </row>
    <row r="11">
      <c r="A11" s="75">
        <v>2.0</v>
      </c>
      <c r="B11" s="76" t="s">
        <v>624</v>
      </c>
      <c r="C11" s="75" t="s">
        <v>552</v>
      </c>
      <c r="D11" s="77">
        <f t="shared" si="1"/>
        <v>0.04666666667</v>
      </c>
      <c r="E11" s="75" t="s">
        <v>148</v>
      </c>
      <c r="F11" s="75"/>
      <c r="G11" s="75" t="s">
        <v>626</v>
      </c>
      <c r="H11" s="81">
        <v>9000.0</v>
      </c>
      <c r="I11" s="80"/>
      <c r="J11" s="39">
        <f t="shared" si="2"/>
        <v>420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3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3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3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3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3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3"/>
        <v>1500</v>
      </c>
    </row>
    <row r="20">
      <c r="A20" s="75">
        <v>7.0</v>
      </c>
      <c r="B20" s="76"/>
      <c r="C20" s="75"/>
      <c r="D20" s="94"/>
      <c r="E20" s="75"/>
      <c r="F20" s="75"/>
      <c r="G20" s="75"/>
      <c r="H20" s="81"/>
      <c r="I20" s="80"/>
      <c r="J20" s="95">
        <f t="shared" si="3"/>
        <v>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3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3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3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0" si="4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4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4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655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3714.533333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9214.533333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603</v>
      </c>
      <c r="C20" s="75" t="s">
        <v>60</v>
      </c>
      <c r="D20" s="94">
        <f>0.25/100</f>
        <v>0.0025</v>
      </c>
      <c r="E20" s="75" t="s">
        <v>23</v>
      </c>
      <c r="F20" s="75" t="s">
        <v>605</v>
      </c>
      <c r="G20" s="75" t="s">
        <v>606</v>
      </c>
      <c r="H20" s="81">
        <v>35000.0</v>
      </c>
      <c r="I20" s="80"/>
      <c r="J20" s="95">
        <f t="shared" si="2"/>
        <v>87.5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0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656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1283.333333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4884.7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10918.03333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75">
        <v>1.0</v>
      </c>
      <c r="B10" s="76" t="s">
        <v>658</v>
      </c>
      <c r="C10" s="75" t="s">
        <v>21</v>
      </c>
      <c r="D10" s="77">
        <f t="shared" ref="D10:D11" si="1">0.84/18</f>
        <v>0.04666666667</v>
      </c>
      <c r="E10" s="75" t="s">
        <v>148</v>
      </c>
      <c r="F10" s="78" t="s">
        <v>648</v>
      </c>
      <c r="G10" s="75" t="s">
        <v>659</v>
      </c>
      <c r="H10" s="79">
        <v>18500.0</v>
      </c>
      <c r="I10" s="62"/>
      <c r="J10" s="23">
        <f t="shared" ref="J10:J11" si="2">D10*H10</f>
        <v>863.3333333</v>
      </c>
    </row>
    <row r="11">
      <c r="A11" s="75">
        <v>2.0</v>
      </c>
      <c r="B11" s="76" t="s">
        <v>624</v>
      </c>
      <c r="C11" s="75" t="s">
        <v>552</v>
      </c>
      <c r="D11" s="77">
        <f t="shared" si="1"/>
        <v>0.04666666667</v>
      </c>
      <c r="E11" s="75" t="s">
        <v>148</v>
      </c>
      <c r="F11" s="75"/>
      <c r="G11" s="75" t="s">
        <v>626</v>
      </c>
      <c r="H11" s="81">
        <v>9000.0</v>
      </c>
      <c r="I11" s="62"/>
      <c r="J11" s="23">
        <f t="shared" si="2"/>
        <v>420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1/120</f>
        <v>0.008333333333</v>
      </c>
      <c r="E14" s="19" t="s">
        <v>35</v>
      </c>
      <c r="F14" s="19" t="s">
        <v>596</v>
      </c>
      <c r="G14" s="19" t="s">
        <v>38</v>
      </c>
      <c r="H14" s="22">
        <v>25000.0</v>
      </c>
      <c r="I14" s="24"/>
      <c r="J14" s="23">
        <f t="shared" ref="J14:J25" si="3">D14*H14</f>
        <v>208.3333333</v>
      </c>
    </row>
    <row r="15">
      <c r="A15" s="19">
        <v>2.0</v>
      </c>
      <c r="B15" s="20" t="s">
        <v>45</v>
      </c>
      <c r="C15" s="19" t="s">
        <v>46</v>
      </c>
      <c r="D15" s="21">
        <v>1.0</v>
      </c>
      <c r="E15" s="19" t="s">
        <v>47</v>
      </c>
      <c r="F15" s="19" t="s">
        <v>48</v>
      </c>
      <c r="G15" s="19" t="s">
        <v>49</v>
      </c>
      <c r="H15" s="22">
        <v>370.0</v>
      </c>
      <c r="I15" s="24"/>
      <c r="J15" s="23">
        <f t="shared" si="3"/>
        <v>370</v>
      </c>
    </row>
    <row r="16">
      <c r="A16" s="19">
        <v>3.0</v>
      </c>
      <c r="B16" s="20" t="s">
        <v>50</v>
      </c>
      <c r="C16" s="19" t="s">
        <v>46</v>
      </c>
      <c r="D16" s="21">
        <f>1/10</f>
        <v>0.1</v>
      </c>
      <c r="E16" s="19" t="s">
        <v>47</v>
      </c>
      <c r="F16" s="19" t="s">
        <v>51</v>
      </c>
      <c r="G16" s="19" t="s">
        <v>52</v>
      </c>
      <c r="H16" s="22">
        <v>587.0</v>
      </c>
      <c r="I16" s="24"/>
      <c r="J16" s="23">
        <f t="shared" si="3"/>
        <v>58.7</v>
      </c>
    </row>
    <row r="17">
      <c r="A17" s="19">
        <v>4.0</v>
      </c>
      <c r="B17" s="20" t="s">
        <v>53</v>
      </c>
      <c r="C17" s="19" t="s">
        <v>54</v>
      </c>
      <c r="D17" s="21">
        <f>1/100</f>
        <v>0.01</v>
      </c>
      <c r="E17" s="19" t="s">
        <v>47</v>
      </c>
      <c r="F17" s="19" t="s">
        <v>55</v>
      </c>
      <c r="G17" s="19" t="s">
        <v>56</v>
      </c>
      <c r="H17" s="22">
        <v>5000.0</v>
      </c>
      <c r="I17" s="24"/>
      <c r="J17" s="23">
        <f t="shared" si="3"/>
        <v>50</v>
      </c>
    </row>
    <row r="18">
      <c r="A18" s="19">
        <v>5.0</v>
      </c>
      <c r="B18" s="20" t="s">
        <v>597</v>
      </c>
      <c r="C18" s="19" t="s">
        <v>598</v>
      </c>
      <c r="D18" s="21">
        <v>0.24</v>
      </c>
      <c r="E18" s="19" t="s">
        <v>148</v>
      </c>
      <c r="F18" s="19" t="s">
        <v>599</v>
      </c>
      <c r="G18" s="19" t="s">
        <v>329</v>
      </c>
      <c r="H18" s="22">
        <v>6000.0</v>
      </c>
      <c r="I18" s="24"/>
      <c r="J18" s="23">
        <f t="shared" si="3"/>
        <v>1440</v>
      </c>
    </row>
    <row r="19">
      <c r="A19" s="19">
        <v>6.0</v>
      </c>
      <c r="B19" s="20" t="s">
        <v>600</v>
      </c>
      <c r="C19" s="19" t="s">
        <v>601</v>
      </c>
      <c r="D19" s="21">
        <v>1.0</v>
      </c>
      <c r="E19" s="19" t="s">
        <v>47</v>
      </c>
      <c r="F19" s="19" t="s">
        <v>602</v>
      </c>
      <c r="G19" s="19" t="s">
        <v>329</v>
      </c>
      <c r="H19" s="22">
        <v>1500.0</v>
      </c>
      <c r="I19" s="24"/>
      <c r="J19" s="23">
        <f t="shared" si="3"/>
        <v>1500</v>
      </c>
    </row>
    <row r="20">
      <c r="A20" s="75">
        <v>7.0</v>
      </c>
      <c r="B20" s="76" t="s">
        <v>126</v>
      </c>
      <c r="C20" s="75" t="s">
        <v>60</v>
      </c>
      <c r="D20" s="94">
        <f>D10</f>
        <v>0.04666666667</v>
      </c>
      <c r="E20" s="75" t="s">
        <v>148</v>
      </c>
      <c r="F20" s="75" t="s">
        <v>633</v>
      </c>
      <c r="G20" s="75" t="s">
        <v>634</v>
      </c>
      <c r="H20" s="81">
        <v>26950.0</v>
      </c>
      <c r="I20" s="80"/>
      <c r="J20" s="95">
        <f t="shared" si="3"/>
        <v>1257.666667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3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3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3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4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2000.0</v>
      </c>
      <c r="I29" s="88"/>
      <c r="J29" s="39">
        <f t="shared" si="4"/>
        <v>2000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4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657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2025.833333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5468.616667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12244.45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647</v>
      </c>
      <c r="C10" s="75" t="s">
        <v>21</v>
      </c>
      <c r="D10" s="77">
        <f>0.82/12</f>
        <v>0.06833333333</v>
      </c>
      <c r="E10" s="75" t="s">
        <v>148</v>
      </c>
      <c r="F10" s="78" t="s">
        <v>661</v>
      </c>
      <c r="G10" s="75" t="s">
        <v>628</v>
      </c>
      <c r="H10" s="79">
        <v>23500.0</v>
      </c>
      <c r="I10" s="81"/>
      <c r="J10" s="39">
        <f t="shared" ref="J10:J11" si="1">D10*H10</f>
        <v>1605.833333</v>
      </c>
    </row>
    <row r="11">
      <c r="A11" s="75">
        <v>2.0</v>
      </c>
      <c r="B11" s="76" t="s">
        <v>624</v>
      </c>
      <c r="C11" s="75" t="s">
        <v>552</v>
      </c>
      <c r="D11" s="77">
        <f>0.84/18</f>
        <v>0.04666666667</v>
      </c>
      <c r="E11" s="75" t="s">
        <v>148</v>
      </c>
      <c r="F11" s="75"/>
      <c r="G11" s="75" t="s">
        <v>626</v>
      </c>
      <c r="H11" s="81">
        <v>9000.0</v>
      </c>
      <c r="I11" s="80"/>
      <c r="J11" s="39">
        <f t="shared" si="1"/>
        <v>420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126</v>
      </c>
      <c r="C20" s="75" t="s">
        <v>60</v>
      </c>
      <c r="D20" s="94">
        <f>D10</f>
        <v>0.06833333333</v>
      </c>
      <c r="E20" s="75" t="s">
        <v>148</v>
      </c>
      <c r="F20" s="75" t="s">
        <v>633</v>
      </c>
      <c r="G20" s="75" t="s">
        <v>634</v>
      </c>
      <c r="H20" s="81">
        <v>26950.0</v>
      </c>
      <c r="I20" s="80"/>
      <c r="J20" s="95">
        <f t="shared" si="2"/>
        <v>1841.583333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3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2000.0</v>
      </c>
      <c r="I29" s="88"/>
      <c r="J29" s="39">
        <f t="shared" si="3"/>
        <v>2000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660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3665.833333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5127.033333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7000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15792.86667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483</v>
      </c>
      <c r="C10" s="75" t="s">
        <v>21</v>
      </c>
      <c r="D10" s="77">
        <f>0.82/12</f>
        <v>0.06833333333</v>
      </c>
      <c r="E10" s="75" t="s">
        <v>148</v>
      </c>
      <c r="F10" s="78" t="s">
        <v>661</v>
      </c>
      <c r="G10" s="75" t="s">
        <v>484</v>
      </c>
      <c r="H10" s="79">
        <v>47500.0</v>
      </c>
      <c r="I10" s="81"/>
      <c r="J10" s="39">
        <f t="shared" ref="J10:J11" si="1">D10*H10</f>
        <v>3245.833333</v>
      </c>
    </row>
    <row r="11">
      <c r="A11" s="75">
        <v>2.0</v>
      </c>
      <c r="B11" s="76" t="s">
        <v>624</v>
      </c>
      <c r="C11" s="75"/>
      <c r="D11" s="77">
        <f>0.84/18</f>
        <v>0.04666666667</v>
      </c>
      <c r="E11" s="75" t="s">
        <v>148</v>
      </c>
      <c r="F11" s="75"/>
      <c r="G11" s="75" t="s">
        <v>626</v>
      </c>
      <c r="H11" s="81">
        <v>9000.0</v>
      </c>
      <c r="I11" s="80"/>
      <c r="J11" s="39">
        <f t="shared" si="1"/>
        <v>420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487</v>
      </c>
      <c r="C20" s="75" t="s">
        <v>60</v>
      </c>
      <c r="D20" s="94">
        <v>0.01</v>
      </c>
      <c r="E20" s="75" t="s">
        <v>23</v>
      </c>
      <c r="F20" s="75" t="s">
        <v>605</v>
      </c>
      <c r="G20" s="75" t="s">
        <v>606</v>
      </c>
      <c r="H20" s="81">
        <v>150000.0</v>
      </c>
      <c r="I20" s="80"/>
      <c r="J20" s="95">
        <f t="shared" si="2"/>
        <v>1500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662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4861.666667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5468.616667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15080.28333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492</v>
      </c>
      <c r="C10" s="75" t="s">
        <v>21</v>
      </c>
      <c r="D10" s="77">
        <f>0.82/12</f>
        <v>0.06833333333</v>
      </c>
      <c r="E10" s="75" t="s">
        <v>148</v>
      </c>
      <c r="F10" s="78" t="s">
        <v>661</v>
      </c>
      <c r="G10" s="75" t="s">
        <v>391</v>
      </c>
      <c r="H10" s="79">
        <v>65000.0</v>
      </c>
      <c r="I10" s="81"/>
      <c r="J10" s="39">
        <f t="shared" ref="J10:J11" si="1">D10*H10</f>
        <v>4441.666667</v>
      </c>
    </row>
    <row r="11">
      <c r="A11" s="75">
        <v>2.0</v>
      </c>
      <c r="B11" s="76" t="s">
        <v>624</v>
      </c>
      <c r="C11" s="75" t="s">
        <v>552</v>
      </c>
      <c r="D11" s="77">
        <f>0.84/18</f>
        <v>0.04666666667</v>
      </c>
      <c r="E11" s="75" t="s">
        <v>148</v>
      </c>
      <c r="F11" s="78" t="s">
        <v>664</v>
      </c>
      <c r="G11" s="75" t="s">
        <v>626</v>
      </c>
      <c r="H11" s="81">
        <v>9000.0</v>
      </c>
      <c r="I11" s="80"/>
      <c r="J11" s="39">
        <f t="shared" si="1"/>
        <v>420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126</v>
      </c>
      <c r="C20" s="75" t="s">
        <v>60</v>
      </c>
      <c r="D20" s="94">
        <f>D10</f>
        <v>0.06833333333</v>
      </c>
      <c r="E20" s="75" t="s">
        <v>148</v>
      </c>
      <c r="F20" s="75" t="s">
        <v>633</v>
      </c>
      <c r="G20" s="75" t="s">
        <v>634</v>
      </c>
      <c r="H20" s="81">
        <v>26950.0</v>
      </c>
      <c r="I20" s="80"/>
      <c r="J20" s="95">
        <f t="shared" si="2"/>
        <v>1841.583333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3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2000.0</v>
      </c>
      <c r="I29" s="88"/>
      <c r="J29" s="39">
        <f t="shared" si="3"/>
        <v>2000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663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3836.666667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5127.033333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7000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15963.7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488</v>
      </c>
      <c r="C10" s="75" t="s">
        <v>21</v>
      </c>
      <c r="D10" s="77">
        <f>0.82/12</f>
        <v>0.06833333333</v>
      </c>
      <c r="E10" s="75" t="s">
        <v>148</v>
      </c>
      <c r="F10" s="78" t="s">
        <v>661</v>
      </c>
      <c r="G10" s="75" t="s">
        <v>484</v>
      </c>
      <c r="H10" s="79">
        <v>50000.0</v>
      </c>
      <c r="I10" s="81"/>
      <c r="J10" s="39">
        <f t="shared" ref="J10:J11" si="1">D10*H10</f>
        <v>3416.666667</v>
      </c>
    </row>
    <row r="11">
      <c r="A11" s="75">
        <v>2.0</v>
      </c>
      <c r="B11" s="76" t="s">
        <v>624</v>
      </c>
      <c r="C11" s="75" t="s">
        <v>552</v>
      </c>
      <c r="D11" s="77">
        <f>0.84/18</f>
        <v>0.04666666667</v>
      </c>
      <c r="E11" s="75" t="s">
        <v>148</v>
      </c>
      <c r="F11" s="78" t="s">
        <v>666</v>
      </c>
      <c r="G11" s="75" t="s">
        <v>626</v>
      </c>
      <c r="H11" s="81">
        <v>9000.0</v>
      </c>
      <c r="I11" s="80"/>
      <c r="J11" s="39">
        <f t="shared" si="1"/>
        <v>420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487</v>
      </c>
      <c r="C20" s="75" t="s">
        <v>60</v>
      </c>
      <c r="D20" s="94">
        <v>0.01</v>
      </c>
      <c r="E20" s="75" t="s">
        <v>23</v>
      </c>
      <c r="F20" s="75" t="s">
        <v>605</v>
      </c>
      <c r="G20" s="75" t="s">
        <v>606</v>
      </c>
      <c r="H20" s="81">
        <v>150000.0</v>
      </c>
      <c r="I20" s="80"/>
      <c r="J20" s="95">
        <f t="shared" si="2"/>
        <v>1500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663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3495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5468.616667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13713.61667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498</v>
      </c>
      <c r="C10" s="75" t="s">
        <v>21</v>
      </c>
      <c r="D10" s="77">
        <f>0.82/12</f>
        <v>0.06833333333</v>
      </c>
      <c r="E10" s="75" t="s">
        <v>148</v>
      </c>
      <c r="F10" s="78" t="s">
        <v>661</v>
      </c>
      <c r="G10" s="75" t="s">
        <v>391</v>
      </c>
      <c r="H10" s="79">
        <v>45000.0</v>
      </c>
      <c r="I10" s="81"/>
      <c r="J10" s="39">
        <f t="shared" ref="J10:J11" si="1">D10*H10</f>
        <v>3075</v>
      </c>
    </row>
    <row r="11">
      <c r="A11" s="75">
        <v>2.0</v>
      </c>
      <c r="B11" s="76" t="s">
        <v>624</v>
      </c>
      <c r="C11" s="75" t="s">
        <v>552</v>
      </c>
      <c r="D11" s="77">
        <f>0.84/18</f>
        <v>0.04666666667</v>
      </c>
      <c r="E11" s="75" t="s">
        <v>148</v>
      </c>
      <c r="F11" s="78" t="s">
        <v>666</v>
      </c>
      <c r="G11" s="75" t="s">
        <v>626</v>
      </c>
      <c r="H11" s="81">
        <v>9000.0</v>
      </c>
      <c r="I11" s="80"/>
      <c r="J11" s="39">
        <f t="shared" si="1"/>
        <v>420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126</v>
      </c>
      <c r="C20" s="75" t="s">
        <v>60</v>
      </c>
      <c r="D20" s="94">
        <f>D10</f>
        <v>0.06833333333</v>
      </c>
      <c r="E20" s="75" t="s">
        <v>148</v>
      </c>
      <c r="F20" s="75" t="s">
        <v>633</v>
      </c>
      <c r="G20" s="75" t="s">
        <v>634</v>
      </c>
      <c r="H20" s="81">
        <v>26950.0</v>
      </c>
      <c r="I20" s="80"/>
      <c r="J20" s="95">
        <f t="shared" si="2"/>
        <v>1841.583333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3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2000.0</v>
      </c>
      <c r="I29" s="88"/>
      <c r="J29" s="39">
        <f t="shared" si="3"/>
        <v>2000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665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3587.5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5377.033333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7000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15964.53333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101" t="s">
        <v>513</v>
      </c>
      <c r="C10" s="19" t="s">
        <v>21</v>
      </c>
      <c r="D10" s="77">
        <f>0.82/12</f>
        <v>0.06833333333</v>
      </c>
      <c r="E10" s="75" t="s">
        <v>148</v>
      </c>
      <c r="F10" s="78" t="s">
        <v>661</v>
      </c>
      <c r="G10" s="102" t="s">
        <v>484</v>
      </c>
      <c r="H10" s="103">
        <v>52500.0</v>
      </c>
      <c r="I10" s="138">
        <v>42500.0</v>
      </c>
      <c r="J10" s="23">
        <f t="shared" ref="J10:J11" si="1">D10*H10</f>
        <v>3587.5</v>
      </c>
    </row>
    <row r="11">
      <c r="A11" s="19">
        <v>2.0</v>
      </c>
      <c r="B11" s="20"/>
      <c r="C11" s="20"/>
      <c r="D11" s="77"/>
      <c r="E11" s="75"/>
      <c r="F11" s="75"/>
      <c r="G11" s="20"/>
      <c r="H11" s="57"/>
      <c r="I11" s="62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1/120</f>
        <v>0.008333333333</v>
      </c>
      <c r="E14" s="19" t="s">
        <v>35</v>
      </c>
      <c r="F14" s="19" t="s">
        <v>596</v>
      </c>
      <c r="G14" s="19" t="s">
        <v>38</v>
      </c>
      <c r="H14" s="22">
        <v>25000.0</v>
      </c>
      <c r="I14" s="24"/>
      <c r="J14" s="23">
        <f t="shared" ref="J14:J25" si="2">D14*H14</f>
        <v>208.3333333</v>
      </c>
    </row>
    <row r="15">
      <c r="A15" s="19">
        <v>2.0</v>
      </c>
      <c r="B15" s="20" t="s">
        <v>45</v>
      </c>
      <c r="C15" s="19" t="s">
        <v>46</v>
      </c>
      <c r="D15" s="21">
        <v>1.0</v>
      </c>
      <c r="E15" s="19" t="s">
        <v>47</v>
      </c>
      <c r="F15" s="19" t="s">
        <v>48</v>
      </c>
      <c r="G15" s="19" t="s">
        <v>49</v>
      </c>
      <c r="H15" s="22">
        <v>370.0</v>
      </c>
      <c r="I15" s="24"/>
      <c r="J15" s="23">
        <f t="shared" si="2"/>
        <v>370</v>
      </c>
    </row>
    <row r="16">
      <c r="A16" s="19">
        <v>3.0</v>
      </c>
      <c r="B16" s="20" t="s">
        <v>50</v>
      </c>
      <c r="C16" s="19" t="s">
        <v>46</v>
      </c>
      <c r="D16" s="21">
        <f>1/10</f>
        <v>0.1</v>
      </c>
      <c r="E16" s="19" t="s">
        <v>47</v>
      </c>
      <c r="F16" s="19" t="s">
        <v>51</v>
      </c>
      <c r="G16" s="19" t="s">
        <v>52</v>
      </c>
      <c r="H16" s="22">
        <v>587.0</v>
      </c>
      <c r="I16" s="24"/>
      <c r="J16" s="23">
        <f t="shared" si="2"/>
        <v>58.7</v>
      </c>
    </row>
    <row r="17">
      <c r="A17" s="19">
        <v>4.0</v>
      </c>
      <c r="B17" s="20" t="s">
        <v>53</v>
      </c>
      <c r="C17" s="19" t="s">
        <v>54</v>
      </c>
      <c r="D17" s="21">
        <f>1/100</f>
        <v>0.01</v>
      </c>
      <c r="E17" s="19" t="s">
        <v>47</v>
      </c>
      <c r="F17" s="19" t="s">
        <v>55</v>
      </c>
      <c r="G17" s="19" t="s">
        <v>56</v>
      </c>
      <c r="H17" s="22">
        <v>5000.0</v>
      </c>
      <c r="I17" s="24"/>
      <c r="J17" s="23">
        <f t="shared" si="2"/>
        <v>50</v>
      </c>
    </row>
    <row r="18">
      <c r="A18" s="19">
        <v>5.0</v>
      </c>
      <c r="B18" s="20" t="s">
        <v>597</v>
      </c>
      <c r="C18" s="19" t="s">
        <v>598</v>
      </c>
      <c r="D18" s="21">
        <v>0.24</v>
      </c>
      <c r="E18" s="19" t="s">
        <v>148</v>
      </c>
      <c r="F18" s="19" t="s">
        <v>599</v>
      </c>
      <c r="G18" s="19" t="s">
        <v>329</v>
      </c>
      <c r="H18" s="22">
        <v>6000.0</v>
      </c>
      <c r="I18" s="24"/>
      <c r="J18" s="23">
        <f t="shared" si="2"/>
        <v>1440</v>
      </c>
    </row>
    <row r="19">
      <c r="A19" s="19">
        <v>6.0</v>
      </c>
      <c r="B19" s="20" t="s">
        <v>600</v>
      </c>
      <c r="C19" s="19" t="s">
        <v>601</v>
      </c>
      <c r="D19" s="21">
        <v>1.0</v>
      </c>
      <c r="E19" s="19" t="s">
        <v>47</v>
      </c>
      <c r="F19" s="19" t="s">
        <v>602</v>
      </c>
      <c r="G19" s="19" t="s">
        <v>329</v>
      </c>
      <c r="H19" s="22">
        <v>1500.0</v>
      </c>
      <c r="I19" s="24"/>
      <c r="J19" s="23">
        <f t="shared" si="2"/>
        <v>1500</v>
      </c>
    </row>
    <row r="20">
      <c r="A20" s="19">
        <v>7.0</v>
      </c>
      <c r="B20" s="101" t="s">
        <v>487</v>
      </c>
      <c r="C20" s="19" t="s">
        <v>60</v>
      </c>
      <c r="D20" s="139">
        <v>0.05</v>
      </c>
      <c r="E20" s="19" t="s">
        <v>23</v>
      </c>
      <c r="F20" s="19" t="s">
        <v>605</v>
      </c>
      <c r="G20" s="19" t="s">
        <v>606</v>
      </c>
      <c r="H20" s="22">
        <v>35000.0</v>
      </c>
      <c r="I20" s="24"/>
      <c r="J20" s="105">
        <f t="shared" si="2"/>
        <v>1750</v>
      </c>
    </row>
    <row r="21">
      <c r="A21" s="19">
        <v>8.0</v>
      </c>
      <c r="B21" s="20"/>
      <c r="C21" s="20"/>
      <c r="D21" s="61"/>
      <c r="E21" s="20"/>
      <c r="F21" s="20"/>
      <c r="G21" s="20"/>
      <c r="H21" s="62"/>
      <c r="I21" s="24"/>
      <c r="J21" s="23">
        <f t="shared" si="2"/>
        <v>0</v>
      </c>
    </row>
    <row r="22">
      <c r="A22" s="19">
        <v>9.0</v>
      </c>
      <c r="B22" s="20"/>
      <c r="C22" s="20"/>
      <c r="D22" s="61"/>
      <c r="E22" s="20"/>
      <c r="F22" s="20"/>
      <c r="G22" s="20"/>
      <c r="H22" s="62"/>
      <c r="I22" s="24"/>
      <c r="J22" s="23">
        <f t="shared" si="2"/>
        <v>0</v>
      </c>
    </row>
    <row r="23">
      <c r="A23" s="19">
        <v>10.0</v>
      </c>
      <c r="B23" s="20"/>
      <c r="C23" s="20"/>
      <c r="D23" s="61"/>
      <c r="E23" s="20"/>
      <c r="F23" s="20"/>
      <c r="G23" s="20"/>
      <c r="H23" s="62"/>
      <c r="I23" s="24"/>
      <c r="J23" s="23">
        <f t="shared" si="2"/>
        <v>0</v>
      </c>
    </row>
    <row r="24">
      <c r="A24" s="19">
        <v>11.0</v>
      </c>
      <c r="B24" s="20"/>
      <c r="C24" s="20"/>
      <c r="D24" s="61"/>
      <c r="E24" s="20"/>
      <c r="F24" s="20"/>
      <c r="G24" s="20"/>
      <c r="H24" s="62"/>
      <c r="I24" s="24"/>
      <c r="J24" s="23">
        <f t="shared" si="2"/>
        <v>0</v>
      </c>
    </row>
    <row r="25">
      <c r="A25" s="19">
        <v>12.0</v>
      </c>
      <c r="B25" s="20"/>
      <c r="C25" s="20"/>
      <c r="D25" s="61"/>
      <c r="E25" s="20"/>
      <c r="F25" s="20"/>
      <c r="G25" s="20"/>
      <c r="H25" s="62"/>
      <c r="I25" s="24"/>
      <c r="J25" s="23">
        <f t="shared" si="2"/>
        <v>0</v>
      </c>
    </row>
    <row r="26">
      <c r="A26" s="29" t="s">
        <v>63</v>
      </c>
      <c r="J26" s="30"/>
    </row>
    <row r="27">
      <c r="A27" s="31" t="s">
        <v>10</v>
      </c>
      <c r="B27" s="31" t="s">
        <v>64</v>
      </c>
      <c r="C27" s="32"/>
      <c r="D27" s="31" t="s">
        <v>13</v>
      </c>
      <c r="E27" s="31" t="s">
        <v>14</v>
      </c>
      <c r="F27" s="31" t="s">
        <v>32</v>
      </c>
      <c r="G27" s="31" t="s">
        <v>16</v>
      </c>
      <c r="H27" s="31" t="s">
        <v>65</v>
      </c>
      <c r="I27" s="32"/>
      <c r="J27" s="31" t="s">
        <v>19</v>
      </c>
    </row>
    <row r="28">
      <c r="A28" s="19">
        <v>1.0</v>
      </c>
      <c r="B28" s="19" t="s">
        <v>357</v>
      </c>
      <c r="C28" s="33"/>
      <c r="D28" s="34">
        <v>1.0</v>
      </c>
      <c r="E28" s="19" t="s">
        <v>47</v>
      </c>
      <c r="F28" s="33"/>
      <c r="G28" s="19" t="s">
        <v>68</v>
      </c>
      <c r="H28" s="22">
        <v>1500.0</v>
      </c>
      <c r="I28" s="33"/>
      <c r="J28" s="23">
        <f t="shared" ref="J28:J31" si="3">D28*H28</f>
        <v>1500</v>
      </c>
    </row>
    <row r="29">
      <c r="A29" s="19">
        <v>2.0</v>
      </c>
      <c r="B29" s="19" t="s">
        <v>360</v>
      </c>
      <c r="C29" s="33"/>
      <c r="D29" s="34">
        <v>1.0</v>
      </c>
      <c r="E29" s="19" t="s">
        <v>47</v>
      </c>
      <c r="F29" s="33"/>
      <c r="G29" s="19" t="s">
        <v>68</v>
      </c>
      <c r="H29" s="22">
        <v>3000.0</v>
      </c>
      <c r="I29" s="33"/>
      <c r="J29" s="23">
        <f t="shared" si="3"/>
        <v>3000</v>
      </c>
    </row>
    <row r="30">
      <c r="A30" s="19">
        <v>3.0</v>
      </c>
      <c r="B30" s="19" t="s">
        <v>362</v>
      </c>
      <c r="C30" s="33"/>
      <c r="D30" s="34">
        <v>1.0</v>
      </c>
      <c r="E30" s="19" t="s">
        <v>47</v>
      </c>
      <c r="F30" s="35"/>
      <c r="G30" s="19" t="s">
        <v>68</v>
      </c>
      <c r="H30" s="22">
        <v>1000.0</v>
      </c>
      <c r="I30" s="33"/>
      <c r="J30" s="23">
        <f t="shared" si="3"/>
        <v>1000</v>
      </c>
    </row>
    <row r="31">
      <c r="A31" s="102">
        <v>4.0</v>
      </c>
      <c r="B31" s="102" t="s">
        <v>476</v>
      </c>
      <c r="C31" s="33"/>
      <c r="D31" s="140">
        <v>1.0</v>
      </c>
      <c r="E31" s="102" t="s">
        <v>47</v>
      </c>
      <c r="F31" s="35"/>
      <c r="G31" s="102" t="s">
        <v>68</v>
      </c>
      <c r="H31" s="109">
        <v>1500.0</v>
      </c>
      <c r="I31" s="33"/>
      <c r="J31" s="23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665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420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5127.033333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7000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12547.03333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 t="s">
        <v>624</v>
      </c>
      <c r="C11" s="75" t="s">
        <v>552</v>
      </c>
      <c r="D11" s="77">
        <f>0.84/18</f>
        <v>0.04666666667</v>
      </c>
      <c r="E11" s="75" t="s">
        <v>148</v>
      </c>
      <c r="F11" s="75"/>
      <c r="G11" s="75" t="s">
        <v>626</v>
      </c>
      <c r="H11" s="81">
        <v>9000.0</v>
      </c>
      <c r="I11" s="80"/>
      <c r="J11" s="39">
        <f t="shared" si="1"/>
        <v>420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1/120</f>
        <v>0.008333333333</v>
      </c>
      <c r="E14" s="75" t="s">
        <v>35</v>
      </c>
      <c r="F14" s="75" t="s">
        <v>596</v>
      </c>
      <c r="G14" s="75" t="s">
        <v>38</v>
      </c>
      <c r="H14" s="81">
        <v>25000.0</v>
      </c>
      <c r="I14" s="80"/>
      <c r="J14" s="39">
        <f t="shared" ref="J14:J25" si="2">D14*H14</f>
        <v>208.3333333</v>
      </c>
    </row>
    <row r="15">
      <c r="A15" s="75">
        <v>2.0</v>
      </c>
      <c r="B15" s="76" t="s">
        <v>45</v>
      </c>
      <c r="C15" s="75" t="s">
        <v>46</v>
      </c>
      <c r="D15" s="77">
        <v>1.0</v>
      </c>
      <c r="E15" s="75" t="s">
        <v>47</v>
      </c>
      <c r="F15" s="75" t="s">
        <v>48</v>
      </c>
      <c r="G15" s="75" t="s">
        <v>49</v>
      </c>
      <c r="H15" s="81">
        <v>370.0</v>
      </c>
      <c r="I15" s="80"/>
      <c r="J15" s="39">
        <f t="shared" si="2"/>
        <v>370</v>
      </c>
    </row>
    <row r="16">
      <c r="A16" s="75">
        <v>3.0</v>
      </c>
      <c r="B16" s="76" t="s">
        <v>50</v>
      </c>
      <c r="C16" s="75" t="s">
        <v>46</v>
      </c>
      <c r="D16" s="77">
        <f>1/10</f>
        <v>0.1</v>
      </c>
      <c r="E16" s="75" t="s">
        <v>47</v>
      </c>
      <c r="F16" s="75" t="s">
        <v>51</v>
      </c>
      <c r="G16" s="75" t="s">
        <v>52</v>
      </c>
      <c r="H16" s="81">
        <v>587.0</v>
      </c>
      <c r="I16" s="80"/>
      <c r="J16" s="39">
        <f t="shared" si="2"/>
        <v>58.7</v>
      </c>
    </row>
    <row r="17">
      <c r="A17" s="75">
        <v>4.0</v>
      </c>
      <c r="B17" s="76" t="s">
        <v>53</v>
      </c>
      <c r="C17" s="75" t="s">
        <v>54</v>
      </c>
      <c r="D17" s="77">
        <f>1/100</f>
        <v>0.01</v>
      </c>
      <c r="E17" s="75" t="s">
        <v>47</v>
      </c>
      <c r="F17" s="75" t="s">
        <v>55</v>
      </c>
      <c r="G17" s="75" t="s">
        <v>56</v>
      </c>
      <c r="H17" s="81">
        <v>5000.0</v>
      </c>
      <c r="I17" s="80"/>
      <c r="J17" s="39">
        <f t="shared" si="2"/>
        <v>50</v>
      </c>
    </row>
    <row r="18">
      <c r="A18" s="75">
        <v>5.0</v>
      </c>
      <c r="B18" s="76" t="s">
        <v>597</v>
      </c>
      <c r="C18" s="75" t="s">
        <v>598</v>
      </c>
      <c r="D18" s="77">
        <v>0.24</v>
      </c>
      <c r="E18" s="75" t="s">
        <v>148</v>
      </c>
      <c r="F18" s="75" t="s">
        <v>599</v>
      </c>
      <c r="G18" s="75" t="s">
        <v>329</v>
      </c>
      <c r="H18" s="81">
        <v>6000.0</v>
      </c>
      <c r="I18" s="80"/>
      <c r="J18" s="39">
        <f t="shared" si="2"/>
        <v>1440</v>
      </c>
    </row>
    <row r="19">
      <c r="A19" s="75">
        <v>6.0</v>
      </c>
      <c r="B19" s="76" t="s">
        <v>600</v>
      </c>
      <c r="C19" s="75" t="s">
        <v>601</v>
      </c>
      <c r="D19" s="77">
        <v>1.0</v>
      </c>
      <c r="E19" s="75" t="s">
        <v>47</v>
      </c>
      <c r="F19" s="75" t="s">
        <v>602</v>
      </c>
      <c r="G19" s="75" t="s">
        <v>329</v>
      </c>
      <c r="H19" s="81">
        <v>1500.0</v>
      </c>
      <c r="I19" s="80"/>
      <c r="J19" s="39">
        <f t="shared" si="2"/>
        <v>1500</v>
      </c>
    </row>
    <row r="20">
      <c r="A20" s="75">
        <v>7.0</v>
      </c>
      <c r="B20" s="76" t="s">
        <v>487</v>
      </c>
      <c r="C20" s="75" t="s">
        <v>60</v>
      </c>
      <c r="D20" s="94">
        <v>0.01</v>
      </c>
      <c r="E20" s="75" t="s">
        <v>23</v>
      </c>
      <c r="F20" s="75" t="s">
        <v>605</v>
      </c>
      <c r="G20" s="75" t="s">
        <v>606</v>
      </c>
      <c r="H20" s="81">
        <v>150000.0</v>
      </c>
      <c r="I20" s="80"/>
      <c r="J20" s="95">
        <f t="shared" si="2"/>
        <v>1500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667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3714.533333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9214.533333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/>
      <c r="C10" s="19"/>
      <c r="D10" s="21"/>
      <c r="E10" s="19"/>
      <c r="F10" s="44"/>
      <c r="G10" s="19"/>
      <c r="H10" s="52"/>
      <c r="I10" s="62"/>
      <c r="J10" s="23">
        <f t="shared" ref="J10:J11" si="1">D10*H10</f>
        <v>0</v>
      </c>
    </row>
    <row r="11">
      <c r="A11" s="19">
        <v>2.0</v>
      </c>
      <c r="B11" s="20"/>
      <c r="C11" s="20"/>
      <c r="D11" s="56"/>
      <c r="E11" s="20"/>
      <c r="F11" s="53"/>
      <c r="G11" s="20"/>
      <c r="H11" s="57"/>
      <c r="I11" s="62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1/120</f>
        <v>0.008333333333</v>
      </c>
      <c r="E14" s="19" t="s">
        <v>35</v>
      </c>
      <c r="F14" s="19" t="s">
        <v>596</v>
      </c>
      <c r="G14" s="19" t="s">
        <v>38</v>
      </c>
      <c r="H14" s="22">
        <v>25000.0</v>
      </c>
      <c r="I14" s="24"/>
      <c r="J14" s="23">
        <f t="shared" ref="J14:J25" si="2">D14*H14</f>
        <v>208.3333333</v>
      </c>
    </row>
    <row r="15">
      <c r="A15" s="19">
        <v>2.0</v>
      </c>
      <c r="B15" s="20" t="s">
        <v>45</v>
      </c>
      <c r="C15" s="19" t="s">
        <v>46</v>
      </c>
      <c r="D15" s="21">
        <v>1.0</v>
      </c>
      <c r="E15" s="19" t="s">
        <v>47</v>
      </c>
      <c r="F15" s="19" t="s">
        <v>48</v>
      </c>
      <c r="G15" s="19" t="s">
        <v>49</v>
      </c>
      <c r="H15" s="22">
        <v>370.0</v>
      </c>
      <c r="I15" s="24"/>
      <c r="J15" s="23">
        <f t="shared" si="2"/>
        <v>370</v>
      </c>
    </row>
    <row r="16">
      <c r="A16" s="19">
        <v>3.0</v>
      </c>
      <c r="B16" s="20" t="s">
        <v>50</v>
      </c>
      <c r="C16" s="19" t="s">
        <v>46</v>
      </c>
      <c r="D16" s="21">
        <f>1/10</f>
        <v>0.1</v>
      </c>
      <c r="E16" s="19" t="s">
        <v>47</v>
      </c>
      <c r="F16" s="19" t="s">
        <v>51</v>
      </c>
      <c r="G16" s="19" t="s">
        <v>52</v>
      </c>
      <c r="H16" s="22">
        <v>587.0</v>
      </c>
      <c r="I16" s="24"/>
      <c r="J16" s="23">
        <f t="shared" si="2"/>
        <v>58.7</v>
      </c>
    </row>
    <row r="17">
      <c r="A17" s="19">
        <v>4.0</v>
      </c>
      <c r="B17" s="20" t="s">
        <v>53</v>
      </c>
      <c r="C17" s="19" t="s">
        <v>54</v>
      </c>
      <c r="D17" s="21">
        <f>1/100</f>
        <v>0.01</v>
      </c>
      <c r="E17" s="19" t="s">
        <v>47</v>
      </c>
      <c r="F17" s="19" t="s">
        <v>55</v>
      </c>
      <c r="G17" s="19" t="s">
        <v>56</v>
      </c>
      <c r="H17" s="22">
        <v>5000.0</v>
      </c>
      <c r="I17" s="24"/>
      <c r="J17" s="23">
        <f t="shared" si="2"/>
        <v>50</v>
      </c>
    </row>
    <row r="18">
      <c r="A18" s="19">
        <v>5.0</v>
      </c>
      <c r="B18" s="20" t="s">
        <v>597</v>
      </c>
      <c r="C18" s="19" t="s">
        <v>598</v>
      </c>
      <c r="D18" s="21">
        <v>0.24</v>
      </c>
      <c r="E18" s="19" t="s">
        <v>148</v>
      </c>
      <c r="F18" s="19" t="s">
        <v>599</v>
      </c>
      <c r="G18" s="19" t="s">
        <v>329</v>
      </c>
      <c r="H18" s="22">
        <v>6000.0</v>
      </c>
      <c r="I18" s="24"/>
      <c r="J18" s="23">
        <f t="shared" si="2"/>
        <v>1440</v>
      </c>
    </row>
    <row r="19">
      <c r="A19" s="19">
        <v>6.0</v>
      </c>
      <c r="B19" s="20" t="s">
        <v>600</v>
      </c>
      <c r="C19" s="19" t="s">
        <v>601</v>
      </c>
      <c r="D19" s="21">
        <v>1.0</v>
      </c>
      <c r="E19" s="19" t="s">
        <v>47</v>
      </c>
      <c r="F19" s="19" t="s">
        <v>602</v>
      </c>
      <c r="G19" s="19" t="s">
        <v>329</v>
      </c>
      <c r="H19" s="22">
        <v>1500.0</v>
      </c>
      <c r="I19" s="24"/>
      <c r="J19" s="23">
        <f t="shared" si="2"/>
        <v>1500</v>
      </c>
    </row>
    <row r="20">
      <c r="A20" s="19">
        <v>7.0</v>
      </c>
      <c r="B20" s="20" t="s">
        <v>603</v>
      </c>
      <c r="C20" s="19" t="s">
        <v>60</v>
      </c>
      <c r="D20" s="104">
        <f>0.25/100</f>
        <v>0.0025</v>
      </c>
      <c r="E20" s="19" t="s">
        <v>23</v>
      </c>
      <c r="F20" s="19" t="s">
        <v>605</v>
      </c>
      <c r="G20" s="19" t="s">
        <v>606</v>
      </c>
      <c r="H20" s="22">
        <v>35000.0</v>
      </c>
      <c r="I20" s="24"/>
      <c r="J20" s="105">
        <f t="shared" si="2"/>
        <v>87.5</v>
      </c>
    </row>
    <row r="21">
      <c r="A21" s="19">
        <v>8.0</v>
      </c>
      <c r="B21" s="20"/>
      <c r="C21" s="20"/>
      <c r="D21" s="61"/>
      <c r="E21" s="20"/>
      <c r="F21" s="20"/>
      <c r="G21" s="20"/>
      <c r="H21" s="62"/>
      <c r="I21" s="24"/>
      <c r="J21" s="23">
        <f t="shared" si="2"/>
        <v>0</v>
      </c>
    </row>
    <row r="22">
      <c r="A22" s="19">
        <v>9.0</v>
      </c>
      <c r="B22" s="20"/>
      <c r="C22" s="20"/>
      <c r="D22" s="61"/>
      <c r="E22" s="20"/>
      <c r="F22" s="20"/>
      <c r="G22" s="20"/>
      <c r="H22" s="62"/>
      <c r="I22" s="24"/>
      <c r="J22" s="23">
        <f t="shared" si="2"/>
        <v>0</v>
      </c>
    </row>
    <row r="23">
      <c r="A23" s="19">
        <v>10.0</v>
      </c>
      <c r="B23" s="20"/>
      <c r="C23" s="20"/>
      <c r="D23" s="61"/>
      <c r="E23" s="20"/>
      <c r="F23" s="20"/>
      <c r="G23" s="20"/>
      <c r="H23" s="62"/>
      <c r="I23" s="24"/>
      <c r="J23" s="23">
        <f t="shared" si="2"/>
        <v>0</v>
      </c>
    </row>
    <row r="24">
      <c r="A24" s="19">
        <v>11.0</v>
      </c>
      <c r="B24" s="20"/>
      <c r="C24" s="20"/>
      <c r="D24" s="61"/>
      <c r="E24" s="20"/>
      <c r="F24" s="20"/>
      <c r="G24" s="20"/>
      <c r="H24" s="62"/>
      <c r="I24" s="24"/>
      <c r="J24" s="23">
        <f t="shared" si="2"/>
        <v>0</v>
      </c>
    </row>
    <row r="25">
      <c r="A25" s="19">
        <v>12.0</v>
      </c>
      <c r="B25" s="20"/>
      <c r="C25" s="20"/>
      <c r="D25" s="61"/>
      <c r="E25" s="20"/>
      <c r="F25" s="20"/>
      <c r="G25" s="20"/>
      <c r="H25" s="62"/>
      <c r="I25" s="24"/>
      <c r="J25" s="23">
        <f t="shared" si="2"/>
        <v>0</v>
      </c>
    </row>
    <row r="26">
      <c r="A26" s="29" t="s">
        <v>63</v>
      </c>
      <c r="J26" s="30"/>
    </row>
    <row r="27">
      <c r="A27" s="31" t="s">
        <v>10</v>
      </c>
      <c r="B27" s="31" t="s">
        <v>64</v>
      </c>
      <c r="C27" s="32"/>
      <c r="D27" s="31" t="s">
        <v>13</v>
      </c>
      <c r="E27" s="31" t="s">
        <v>14</v>
      </c>
      <c r="F27" s="31" t="s">
        <v>32</v>
      </c>
      <c r="G27" s="31" t="s">
        <v>16</v>
      </c>
      <c r="H27" s="31" t="s">
        <v>65</v>
      </c>
      <c r="I27" s="32"/>
      <c r="J27" s="31" t="s">
        <v>19</v>
      </c>
    </row>
    <row r="28">
      <c r="A28" s="19">
        <v>1.0</v>
      </c>
      <c r="B28" s="19" t="s">
        <v>357</v>
      </c>
      <c r="C28" s="33"/>
      <c r="D28" s="34">
        <v>1.0</v>
      </c>
      <c r="E28" s="19" t="s">
        <v>47</v>
      </c>
      <c r="F28" s="33"/>
      <c r="G28" s="19" t="s">
        <v>68</v>
      </c>
      <c r="H28" s="22">
        <v>1500.0</v>
      </c>
      <c r="I28" s="33"/>
      <c r="J28" s="23">
        <f t="shared" ref="J28:J30" si="3">D28*H28</f>
        <v>1500</v>
      </c>
    </row>
    <row r="29">
      <c r="A29" s="19">
        <v>2.0</v>
      </c>
      <c r="B29" s="19" t="s">
        <v>360</v>
      </c>
      <c r="C29" s="33"/>
      <c r="D29" s="34">
        <v>1.0</v>
      </c>
      <c r="E29" s="19" t="s">
        <v>47</v>
      </c>
      <c r="F29" s="33"/>
      <c r="G29" s="19" t="s">
        <v>68</v>
      </c>
      <c r="H29" s="22">
        <v>3000.0</v>
      </c>
      <c r="I29" s="33"/>
      <c r="J29" s="23">
        <f t="shared" si="3"/>
        <v>3000</v>
      </c>
    </row>
    <row r="30">
      <c r="A30" s="19">
        <v>3.0</v>
      </c>
      <c r="B30" s="19" t="s">
        <v>362</v>
      </c>
      <c r="C30" s="33"/>
      <c r="D30" s="34">
        <v>1.0</v>
      </c>
      <c r="E30" s="19" t="s">
        <v>47</v>
      </c>
      <c r="F30" s="35"/>
      <c r="G30" s="19" t="s">
        <v>68</v>
      </c>
      <c r="H30" s="22">
        <v>1000.0</v>
      </c>
      <c r="I30" s="33"/>
      <c r="J30" s="23">
        <f t="shared" si="3"/>
        <v>1000</v>
      </c>
    </row>
    <row r="31">
      <c r="A31" s="19"/>
      <c r="B31" s="19"/>
      <c r="C31" s="33"/>
      <c r="D31" s="34"/>
      <c r="E31" s="19"/>
      <c r="F31" s="35"/>
      <c r="G31" s="19"/>
      <c r="H31" s="22"/>
      <c r="I31" s="33"/>
      <c r="J31" s="23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668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1684.166667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5468.616667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11902.78333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75">
        <v>1.0</v>
      </c>
      <c r="B10" s="76" t="s">
        <v>658</v>
      </c>
      <c r="C10" s="75" t="s">
        <v>21</v>
      </c>
      <c r="D10" s="77">
        <f>0.82/12</f>
        <v>0.06833333333</v>
      </c>
      <c r="E10" s="75" t="s">
        <v>148</v>
      </c>
      <c r="F10" s="78" t="s">
        <v>661</v>
      </c>
      <c r="G10" s="75" t="s">
        <v>659</v>
      </c>
      <c r="H10" s="79">
        <v>18500.0</v>
      </c>
      <c r="I10" s="62"/>
      <c r="J10" s="23">
        <f t="shared" ref="J10:J11" si="1">D10*H10</f>
        <v>1264.166667</v>
      </c>
    </row>
    <row r="11">
      <c r="A11" s="75">
        <v>2.0</v>
      </c>
      <c r="B11" s="76" t="s">
        <v>624</v>
      </c>
      <c r="C11" s="75" t="s">
        <v>552</v>
      </c>
      <c r="D11" s="77">
        <f>0.84/18</f>
        <v>0.04666666667</v>
      </c>
      <c r="E11" s="75" t="s">
        <v>148</v>
      </c>
      <c r="F11" s="78" t="s">
        <v>664</v>
      </c>
      <c r="G11" s="75" t="s">
        <v>626</v>
      </c>
      <c r="H11" s="81">
        <v>9000.0</v>
      </c>
      <c r="I11" s="62"/>
      <c r="J11" s="23">
        <f t="shared" si="1"/>
        <v>420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1/120</f>
        <v>0.008333333333</v>
      </c>
      <c r="E14" s="19" t="s">
        <v>35</v>
      </c>
      <c r="F14" s="19" t="s">
        <v>596</v>
      </c>
      <c r="G14" s="19" t="s">
        <v>38</v>
      </c>
      <c r="H14" s="22">
        <v>25000.0</v>
      </c>
      <c r="I14" s="24"/>
      <c r="J14" s="23">
        <f t="shared" ref="J14:J25" si="2">D14*H14</f>
        <v>208.3333333</v>
      </c>
    </row>
    <row r="15">
      <c r="A15" s="19">
        <v>2.0</v>
      </c>
      <c r="B15" s="20" t="s">
        <v>45</v>
      </c>
      <c r="C15" s="19" t="s">
        <v>46</v>
      </c>
      <c r="D15" s="21">
        <v>1.0</v>
      </c>
      <c r="E15" s="19" t="s">
        <v>47</v>
      </c>
      <c r="F15" s="19" t="s">
        <v>48</v>
      </c>
      <c r="G15" s="19" t="s">
        <v>49</v>
      </c>
      <c r="H15" s="22">
        <v>370.0</v>
      </c>
      <c r="I15" s="24"/>
      <c r="J15" s="23">
        <f t="shared" si="2"/>
        <v>370</v>
      </c>
    </row>
    <row r="16">
      <c r="A16" s="19">
        <v>3.0</v>
      </c>
      <c r="B16" s="20" t="s">
        <v>50</v>
      </c>
      <c r="C16" s="19" t="s">
        <v>46</v>
      </c>
      <c r="D16" s="21">
        <f>1/10</f>
        <v>0.1</v>
      </c>
      <c r="E16" s="19" t="s">
        <v>47</v>
      </c>
      <c r="F16" s="19" t="s">
        <v>51</v>
      </c>
      <c r="G16" s="19" t="s">
        <v>52</v>
      </c>
      <c r="H16" s="22">
        <v>587.0</v>
      </c>
      <c r="I16" s="24"/>
      <c r="J16" s="23">
        <f t="shared" si="2"/>
        <v>58.7</v>
      </c>
    </row>
    <row r="17">
      <c r="A17" s="19">
        <v>4.0</v>
      </c>
      <c r="B17" s="20" t="s">
        <v>53</v>
      </c>
      <c r="C17" s="19" t="s">
        <v>54</v>
      </c>
      <c r="D17" s="21">
        <f>1/100</f>
        <v>0.01</v>
      </c>
      <c r="E17" s="19" t="s">
        <v>47</v>
      </c>
      <c r="F17" s="19" t="s">
        <v>55</v>
      </c>
      <c r="G17" s="19" t="s">
        <v>56</v>
      </c>
      <c r="H17" s="22">
        <v>5000.0</v>
      </c>
      <c r="I17" s="24"/>
      <c r="J17" s="23">
        <f t="shared" si="2"/>
        <v>50</v>
      </c>
    </row>
    <row r="18">
      <c r="A18" s="19">
        <v>5.0</v>
      </c>
      <c r="B18" s="20" t="s">
        <v>597</v>
      </c>
      <c r="C18" s="19" t="s">
        <v>598</v>
      </c>
      <c r="D18" s="21">
        <v>0.24</v>
      </c>
      <c r="E18" s="19" t="s">
        <v>148</v>
      </c>
      <c r="F18" s="19" t="s">
        <v>599</v>
      </c>
      <c r="G18" s="19" t="s">
        <v>329</v>
      </c>
      <c r="H18" s="22">
        <v>6000.0</v>
      </c>
      <c r="I18" s="24"/>
      <c r="J18" s="23">
        <f t="shared" si="2"/>
        <v>1440</v>
      </c>
    </row>
    <row r="19">
      <c r="A19" s="19">
        <v>6.0</v>
      </c>
      <c r="B19" s="20" t="s">
        <v>600</v>
      </c>
      <c r="C19" s="19" t="s">
        <v>601</v>
      </c>
      <c r="D19" s="21">
        <v>1.0</v>
      </c>
      <c r="E19" s="19" t="s">
        <v>47</v>
      </c>
      <c r="F19" s="19" t="s">
        <v>602</v>
      </c>
      <c r="G19" s="19" t="s">
        <v>329</v>
      </c>
      <c r="H19" s="22">
        <v>1500.0</v>
      </c>
      <c r="I19" s="24"/>
      <c r="J19" s="23">
        <f t="shared" si="2"/>
        <v>1500</v>
      </c>
    </row>
    <row r="20">
      <c r="A20" s="75">
        <v>7.0</v>
      </c>
      <c r="B20" s="76" t="s">
        <v>126</v>
      </c>
      <c r="C20" s="75" t="s">
        <v>60</v>
      </c>
      <c r="D20" s="94">
        <f>D10</f>
        <v>0.06833333333</v>
      </c>
      <c r="E20" s="75" t="s">
        <v>148</v>
      </c>
      <c r="F20" s="75" t="s">
        <v>633</v>
      </c>
      <c r="G20" s="75" t="s">
        <v>634</v>
      </c>
      <c r="H20" s="81">
        <v>26950.0</v>
      </c>
      <c r="I20" s="80"/>
      <c r="J20" s="95">
        <f t="shared" si="2"/>
        <v>1841.583333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1750.0</v>
      </c>
      <c r="I28" s="88"/>
      <c r="J28" s="39">
        <f t="shared" ref="J28:J30" si="3">D28*H28</f>
        <v>1750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2000.0</v>
      </c>
      <c r="I29" s="88"/>
      <c r="J29" s="39">
        <f t="shared" si="3"/>
        <v>2000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669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3714.533333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5500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9214.533333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/>
      <c r="C10" s="19"/>
      <c r="D10" s="21"/>
      <c r="E10" s="19"/>
      <c r="F10" s="44"/>
      <c r="G10" s="19"/>
      <c r="H10" s="52"/>
      <c r="I10" s="62"/>
      <c r="J10" s="23">
        <f t="shared" ref="J10:J11" si="1">D10*H10</f>
        <v>0</v>
      </c>
    </row>
    <row r="11">
      <c r="A11" s="19">
        <v>2.0</v>
      </c>
      <c r="B11" s="20"/>
      <c r="C11" s="20"/>
      <c r="D11" s="56"/>
      <c r="E11" s="20"/>
      <c r="F11" s="53"/>
      <c r="G11" s="20"/>
      <c r="H11" s="57"/>
      <c r="I11" s="62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1/120</f>
        <v>0.008333333333</v>
      </c>
      <c r="E14" s="19" t="s">
        <v>35</v>
      </c>
      <c r="F14" s="19" t="s">
        <v>596</v>
      </c>
      <c r="G14" s="19" t="s">
        <v>38</v>
      </c>
      <c r="H14" s="22">
        <v>25000.0</v>
      </c>
      <c r="I14" s="24"/>
      <c r="J14" s="23">
        <f t="shared" ref="J14:J25" si="2">D14*H14</f>
        <v>208.3333333</v>
      </c>
    </row>
    <row r="15">
      <c r="A15" s="19">
        <v>2.0</v>
      </c>
      <c r="B15" s="20" t="s">
        <v>45</v>
      </c>
      <c r="C15" s="19" t="s">
        <v>46</v>
      </c>
      <c r="D15" s="21">
        <v>1.0</v>
      </c>
      <c r="E15" s="19" t="s">
        <v>47</v>
      </c>
      <c r="F15" s="19" t="s">
        <v>48</v>
      </c>
      <c r="G15" s="19" t="s">
        <v>49</v>
      </c>
      <c r="H15" s="22">
        <v>370.0</v>
      </c>
      <c r="I15" s="24"/>
      <c r="J15" s="23">
        <f t="shared" si="2"/>
        <v>370</v>
      </c>
    </row>
    <row r="16">
      <c r="A16" s="19">
        <v>3.0</v>
      </c>
      <c r="B16" s="20" t="s">
        <v>50</v>
      </c>
      <c r="C16" s="19" t="s">
        <v>46</v>
      </c>
      <c r="D16" s="21">
        <f>1/10</f>
        <v>0.1</v>
      </c>
      <c r="E16" s="19" t="s">
        <v>47</v>
      </c>
      <c r="F16" s="19" t="s">
        <v>51</v>
      </c>
      <c r="G16" s="19" t="s">
        <v>52</v>
      </c>
      <c r="H16" s="22">
        <v>587.0</v>
      </c>
      <c r="I16" s="24"/>
      <c r="J16" s="23">
        <f t="shared" si="2"/>
        <v>58.7</v>
      </c>
    </row>
    <row r="17">
      <c r="A17" s="19">
        <v>4.0</v>
      </c>
      <c r="B17" s="20" t="s">
        <v>53</v>
      </c>
      <c r="C17" s="19" t="s">
        <v>54</v>
      </c>
      <c r="D17" s="21">
        <f>1/100</f>
        <v>0.01</v>
      </c>
      <c r="E17" s="19" t="s">
        <v>47</v>
      </c>
      <c r="F17" s="19" t="s">
        <v>55</v>
      </c>
      <c r="G17" s="19" t="s">
        <v>56</v>
      </c>
      <c r="H17" s="22">
        <v>5000.0</v>
      </c>
      <c r="I17" s="24"/>
      <c r="J17" s="23">
        <f t="shared" si="2"/>
        <v>50</v>
      </c>
    </row>
    <row r="18">
      <c r="A18" s="19">
        <v>5.0</v>
      </c>
      <c r="B18" s="20" t="s">
        <v>597</v>
      </c>
      <c r="C18" s="19" t="s">
        <v>598</v>
      </c>
      <c r="D18" s="21">
        <v>0.24</v>
      </c>
      <c r="E18" s="19" t="s">
        <v>148</v>
      </c>
      <c r="F18" s="19" t="s">
        <v>599</v>
      </c>
      <c r="G18" s="19" t="s">
        <v>329</v>
      </c>
      <c r="H18" s="22">
        <v>6000.0</v>
      </c>
      <c r="I18" s="24"/>
      <c r="J18" s="23">
        <f t="shared" si="2"/>
        <v>1440</v>
      </c>
    </row>
    <row r="19">
      <c r="A19" s="19">
        <v>6.0</v>
      </c>
      <c r="B19" s="20" t="s">
        <v>600</v>
      </c>
      <c r="C19" s="19" t="s">
        <v>601</v>
      </c>
      <c r="D19" s="21">
        <v>1.0</v>
      </c>
      <c r="E19" s="19" t="s">
        <v>47</v>
      </c>
      <c r="F19" s="19" t="s">
        <v>602</v>
      </c>
      <c r="G19" s="19" t="s">
        <v>329</v>
      </c>
      <c r="H19" s="22">
        <v>1500.0</v>
      </c>
      <c r="I19" s="24"/>
      <c r="J19" s="23">
        <f t="shared" si="2"/>
        <v>1500</v>
      </c>
    </row>
    <row r="20">
      <c r="A20" s="19">
        <v>7.0</v>
      </c>
      <c r="B20" s="20" t="s">
        <v>603</v>
      </c>
      <c r="C20" s="19" t="s">
        <v>60</v>
      </c>
      <c r="D20" s="104">
        <f>0.25/100</f>
        <v>0.0025</v>
      </c>
      <c r="E20" s="19" t="s">
        <v>23</v>
      </c>
      <c r="F20" s="19" t="s">
        <v>605</v>
      </c>
      <c r="G20" s="19" t="s">
        <v>606</v>
      </c>
      <c r="H20" s="22">
        <v>35000.0</v>
      </c>
      <c r="I20" s="24"/>
      <c r="J20" s="105">
        <f t="shared" si="2"/>
        <v>87.5</v>
      </c>
    </row>
    <row r="21">
      <c r="A21" s="19">
        <v>8.0</v>
      </c>
      <c r="B21" s="20"/>
      <c r="C21" s="20"/>
      <c r="D21" s="61"/>
      <c r="E21" s="20"/>
      <c r="F21" s="20"/>
      <c r="G21" s="20"/>
      <c r="H21" s="62"/>
      <c r="I21" s="24"/>
      <c r="J21" s="23">
        <f t="shared" si="2"/>
        <v>0</v>
      </c>
    </row>
    <row r="22">
      <c r="A22" s="19">
        <v>9.0</v>
      </c>
      <c r="B22" s="20"/>
      <c r="C22" s="20"/>
      <c r="D22" s="61"/>
      <c r="E22" s="20"/>
      <c r="F22" s="20"/>
      <c r="G22" s="20"/>
      <c r="H22" s="62"/>
      <c r="I22" s="24"/>
      <c r="J22" s="23">
        <f t="shared" si="2"/>
        <v>0</v>
      </c>
    </row>
    <row r="23">
      <c r="A23" s="19">
        <v>10.0</v>
      </c>
      <c r="B23" s="20"/>
      <c r="C23" s="20"/>
      <c r="D23" s="61"/>
      <c r="E23" s="20"/>
      <c r="F23" s="20"/>
      <c r="G23" s="20"/>
      <c r="H23" s="62"/>
      <c r="I23" s="24"/>
      <c r="J23" s="23">
        <f t="shared" si="2"/>
        <v>0</v>
      </c>
    </row>
    <row r="24">
      <c r="A24" s="19">
        <v>11.0</v>
      </c>
      <c r="B24" s="20"/>
      <c r="C24" s="20"/>
      <c r="D24" s="61"/>
      <c r="E24" s="20"/>
      <c r="F24" s="20"/>
      <c r="G24" s="20"/>
      <c r="H24" s="62"/>
      <c r="I24" s="24"/>
      <c r="J24" s="23">
        <f t="shared" si="2"/>
        <v>0</v>
      </c>
    </row>
    <row r="25">
      <c r="A25" s="19">
        <v>12.0</v>
      </c>
      <c r="B25" s="20"/>
      <c r="C25" s="20"/>
      <c r="D25" s="61"/>
      <c r="E25" s="20"/>
      <c r="F25" s="20"/>
      <c r="G25" s="20"/>
      <c r="H25" s="62"/>
      <c r="I25" s="24"/>
      <c r="J25" s="23">
        <f t="shared" si="2"/>
        <v>0</v>
      </c>
    </row>
    <row r="26">
      <c r="A26" s="29" t="s">
        <v>63</v>
      </c>
      <c r="J26" s="30"/>
    </row>
    <row r="27">
      <c r="A27" s="31" t="s">
        <v>10</v>
      </c>
      <c r="B27" s="31" t="s">
        <v>64</v>
      </c>
      <c r="C27" s="32"/>
      <c r="D27" s="31" t="s">
        <v>13</v>
      </c>
      <c r="E27" s="31" t="s">
        <v>14</v>
      </c>
      <c r="F27" s="31" t="s">
        <v>32</v>
      </c>
      <c r="G27" s="31" t="s">
        <v>16</v>
      </c>
      <c r="H27" s="31" t="s">
        <v>65</v>
      </c>
      <c r="I27" s="32"/>
      <c r="J27" s="31" t="s">
        <v>19</v>
      </c>
    </row>
    <row r="28">
      <c r="A28" s="19">
        <v>1.0</v>
      </c>
      <c r="B28" s="19" t="s">
        <v>357</v>
      </c>
      <c r="C28" s="33"/>
      <c r="D28" s="34">
        <v>1.0</v>
      </c>
      <c r="E28" s="19" t="s">
        <v>47</v>
      </c>
      <c r="F28" s="33"/>
      <c r="G28" s="19" t="s">
        <v>68</v>
      </c>
      <c r="H28" s="22">
        <v>1500.0</v>
      </c>
      <c r="I28" s="33"/>
      <c r="J28" s="23">
        <f t="shared" ref="J28:J30" si="3">D28*H28</f>
        <v>1500</v>
      </c>
    </row>
    <row r="29">
      <c r="A29" s="19">
        <v>2.0</v>
      </c>
      <c r="B29" s="19" t="s">
        <v>360</v>
      </c>
      <c r="C29" s="33"/>
      <c r="D29" s="34">
        <v>1.0</v>
      </c>
      <c r="E29" s="19" t="s">
        <v>47</v>
      </c>
      <c r="F29" s="33"/>
      <c r="G29" s="19" t="s">
        <v>68</v>
      </c>
      <c r="H29" s="22">
        <v>3000.0</v>
      </c>
      <c r="I29" s="33"/>
      <c r="J29" s="23">
        <f t="shared" si="3"/>
        <v>3000</v>
      </c>
    </row>
    <row r="30">
      <c r="A30" s="19">
        <v>3.0</v>
      </c>
      <c r="B30" s="19" t="s">
        <v>362</v>
      </c>
      <c r="C30" s="33"/>
      <c r="D30" s="34">
        <v>1.0</v>
      </c>
      <c r="E30" s="19" t="s">
        <v>47</v>
      </c>
      <c r="F30" s="35"/>
      <c r="G30" s="19" t="s">
        <v>68</v>
      </c>
      <c r="H30" s="22">
        <v>1000.0</v>
      </c>
      <c r="I30" s="33"/>
      <c r="J30" s="23">
        <f t="shared" si="3"/>
        <v>1000</v>
      </c>
    </row>
    <row r="31">
      <c r="A31" s="19"/>
      <c r="B31" s="19"/>
      <c r="C31" s="33"/>
      <c r="D31" s="34"/>
      <c r="E31" s="19"/>
      <c r="F31" s="35"/>
      <c r="G31" s="19"/>
      <c r="H31" s="22"/>
      <c r="I31" s="33"/>
      <c r="J31" s="23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670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96086.95652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2587.045865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114674.0024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672</v>
      </c>
      <c r="C10" s="75" t="s">
        <v>21</v>
      </c>
      <c r="D10" s="77">
        <v>0.8</v>
      </c>
      <c r="E10" s="75" t="s">
        <v>148</v>
      </c>
      <c r="F10" s="78" t="s">
        <v>673</v>
      </c>
      <c r="G10" s="75" t="s">
        <v>674</v>
      </c>
      <c r="H10" s="79">
        <f t="shared" ref="H10:H11" si="1">78000/0.92</f>
        <v>84782.6087</v>
      </c>
      <c r="I10" s="81">
        <f t="shared" ref="I10:I11" si="2">69000/0.92</f>
        <v>75000</v>
      </c>
      <c r="J10" s="39">
        <f t="shared" ref="J10:J11" si="3">D10*H10</f>
        <v>67826.08696</v>
      </c>
    </row>
    <row r="11">
      <c r="A11" s="75">
        <v>2.0</v>
      </c>
      <c r="B11" s="76" t="s">
        <v>672</v>
      </c>
      <c r="C11" s="75" t="s">
        <v>54</v>
      </c>
      <c r="D11" s="77">
        <f>1/3</f>
        <v>0.3333333333</v>
      </c>
      <c r="E11" s="75" t="s">
        <v>148</v>
      </c>
      <c r="F11" s="78" t="s">
        <v>676</v>
      </c>
      <c r="G11" s="75" t="s">
        <v>677</v>
      </c>
      <c r="H11" s="79">
        <f t="shared" si="1"/>
        <v>84782.6087</v>
      </c>
      <c r="I11" s="81">
        <f t="shared" si="2"/>
        <v>75000</v>
      </c>
      <c r="J11" s="39">
        <f t="shared" si="3"/>
        <v>28260.86957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313</v>
      </c>
      <c r="G14" s="75" t="s">
        <v>38</v>
      </c>
      <c r="H14" s="81">
        <v>25000.0</v>
      </c>
      <c r="I14" s="80"/>
      <c r="J14" s="39">
        <f t="shared" ref="J14:J21" si="4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39">
        <f t="shared" si="4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4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4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4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4"/>
        <v>50</v>
      </c>
    </row>
    <row r="20">
      <c r="A20" s="75">
        <v>7.0</v>
      </c>
      <c r="B20" s="76" t="s">
        <v>680</v>
      </c>
      <c r="C20" s="75" t="s">
        <v>543</v>
      </c>
      <c r="D20" s="83">
        <v>1.0</v>
      </c>
      <c r="E20" s="75" t="s">
        <v>47</v>
      </c>
      <c r="F20" s="75" t="s">
        <v>681</v>
      </c>
      <c r="G20" s="75" t="s">
        <v>682</v>
      </c>
      <c r="H20" s="81">
        <f>90000/100</f>
        <v>900</v>
      </c>
      <c r="I20" s="80"/>
      <c r="J20" s="39">
        <f t="shared" si="4"/>
        <v>900</v>
      </c>
    </row>
    <row r="21">
      <c r="A21" s="75">
        <v>8.0</v>
      </c>
      <c r="B21" s="76" t="s">
        <v>684</v>
      </c>
      <c r="C21" s="76" t="s">
        <v>543</v>
      </c>
      <c r="D21" s="83">
        <v>1.0</v>
      </c>
      <c r="E21" s="75" t="s">
        <v>47</v>
      </c>
      <c r="F21" s="75" t="s">
        <v>685</v>
      </c>
      <c r="G21" s="75" t="s">
        <v>686</v>
      </c>
      <c r="H21" s="81">
        <f>90000/266</f>
        <v>338.3458647</v>
      </c>
      <c r="I21" s="80"/>
      <c r="J21" s="39">
        <f t="shared" si="4"/>
        <v>338.3458647</v>
      </c>
    </row>
    <row r="22">
      <c r="A22" s="75">
        <v>9.0</v>
      </c>
      <c r="I22" s="80"/>
      <c r="J22" s="39">
        <f>D21*H21</f>
        <v>338.3458647</v>
      </c>
    </row>
    <row r="23">
      <c r="A23" s="75">
        <v>10.0</v>
      </c>
      <c r="B23" s="76"/>
      <c r="D23" s="83"/>
      <c r="E23" s="75"/>
      <c r="F23" s="75"/>
      <c r="G23" s="75"/>
      <c r="H23" s="81"/>
      <c r="I23" s="80"/>
      <c r="J23" s="39">
        <f t="shared" ref="J23:J25" si="5">D23*H23</f>
        <v>0</v>
      </c>
    </row>
    <row r="24">
      <c r="A24" s="75">
        <v>11.0</v>
      </c>
      <c r="B24" s="76"/>
      <c r="C24" s="76"/>
      <c r="D24" s="83"/>
      <c r="E24" s="75"/>
      <c r="F24" s="75"/>
      <c r="G24" s="75"/>
      <c r="H24" s="81"/>
      <c r="I24" s="80"/>
      <c r="J24" s="39">
        <f t="shared" si="5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5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4000.0</v>
      </c>
      <c r="I28" s="88"/>
      <c r="J28" s="39">
        <f t="shared" ref="J28:J31" si="6">D28*H28</f>
        <v>4000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8500.0</v>
      </c>
      <c r="I29" s="88"/>
      <c r="J29" s="39">
        <f t="shared" si="6"/>
        <v>8500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2000.0</v>
      </c>
      <c r="I30" s="88"/>
      <c r="J30" s="39">
        <f t="shared" si="6"/>
        <v>2000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6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671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104565.2174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2587.045865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123152.2633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672</v>
      </c>
      <c r="C10" s="75" t="s">
        <v>21</v>
      </c>
      <c r="D10" s="77">
        <v>0.9</v>
      </c>
      <c r="E10" s="75" t="s">
        <v>148</v>
      </c>
      <c r="F10" s="78" t="s">
        <v>678</v>
      </c>
      <c r="G10" s="75" t="s">
        <v>674</v>
      </c>
      <c r="H10" s="79">
        <f t="shared" ref="H10:H11" si="1">78000/0.92</f>
        <v>84782.6087</v>
      </c>
      <c r="I10" s="81">
        <f t="shared" ref="I10:I11" si="2">69000/0.92</f>
        <v>75000</v>
      </c>
      <c r="J10" s="39">
        <f t="shared" ref="J10:J11" si="3">D10*H10</f>
        <v>76304.34783</v>
      </c>
    </row>
    <row r="11">
      <c r="A11" s="75">
        <v>2.0</v>
      </c>
      <c r="B11" s="76" t="s">
        <v>672</v>
      </c>
      <c r="C11" s="75" t="s">
        <v>54</v>
      </c>
      <c r="D11" s="77">
        <f>1/3</f>
        <v>0.3333333333</v>
      </c>
      <c r="E11" s="75" t="s">
        <v>148</v>
      </c>
      <c r="F11" s="78" t="s">
        <v>676</v>
      </c>
      <c r="G11" s="75" t="s">
        <v>677</v>
      </c>
      <c r="H11" s="79">
        <f t="shared" si="1"/>
        <v>84782.6087</v>
      </c>
      <c r="I11" s="81">
        <f t="shared" si="2"/>
        <v>75000</v>
      </c>
      <c r="J11" s="39">
        <f t="shared" si="3"/>
        <v>28260.86957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313</v>
      </c>
      <c r="G14" s="75" t="s">
        <v>38</v>
      </c>
      <c r="H14" s="81">
        <v>25000.0</v>
      </c>
      <c r="I14" s="80"/>
      <c r="J14" s="39">
        <f t="shared" ref="J14:J25" si="4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39">
        <f t="shared" si="4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4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4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4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4"/>
        <v>50</v>
      </c>
    </row>
    <row r="20">
      <c r="A20" s="75">
        <v>7.0</v>
      </c>
      <c r="B20" s="76" t="s">
        <v>680</v>
      </c>
      <c r="C20" s="75" t="s">
        <v>543</v>
      </c>
      <c r="D20" s="83">
        <v>1.0</v>
      </c>
      <c r="E20" s="75" t="s">
        <v>47</v>
      </c>
      <c r="F20" s="75" t="s">
        <v>681</v>
      </c>
      <c r="G20" s="75" t="s">
        <v>682</v>
      </c>
      <c r="H20" s="81">
        <f>90000/100</f>
        <v>900</v>
      </c>
      <c r="I20" s="80"/>
      <c r="J20" s="95">
        <f t="shared" si="4"/>
        <v>900</v>
      </c>
    </row>
    <row r="21">
      <c r="A21" s="75">
        <v>8.0</v>
      </c>
      <c r="B21" s="76" t="s">
        <v>684</v>
      </c>
      <c r="C21" s="75" t="s">
        <v>543</v>
      </c>
      <c r="D21" s="83">
        <v>1.0</v>
      </c>
      <c r="E21" s="75" t="s">
        <v>47</v>
      </c>
      <c r="F21" s="75" t="s">
        <v>685</v>
      </c>
      <c r="G21" s="75" t="s">
        <v>686</v>
      </c>
      <c r="H21" s="81">
        <f>90000/266</f>
        <v>338.3458647</v>
      </c>
      <c r="I21" s="80"/>
      <c r="J21" s="39">
        <f t="shared" si="4"/>
        <v>338.3458647</v>
      </c>
    </row>
    <row r="22">
      <c r="A22" s="75">
        <v>9.0</v>
      </c>
      <c r="I22" s="80"/>
      <c r="J22" s="89">
        <f t="shared" si="4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4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4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4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4000.0</v>
      </c>
      <c r="I28" s="88"/>
      <c r="J28" s="39">
        <f t="shared" ref="J28:J31" si="5">D28*H28</f>
        <v>4000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8500.0</v>
      </c>
      <c r="I29" s="88"/>
      <c r="J29" s="39">
        <f t="shared" si="5"/>
        <v>8500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2000.0</v>
      </c>
      <c r="I30" s="88"/>
      <c r="J30" s="39">
        <f t="shared" si="5"/>
        <v>2000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5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675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SUM(J10)</f>
        <v>67826.08696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2587.045865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86413.13282</v>
      </c>
      <c r="D6" s="6"/>
      <c r="E6" s="65"/>
      <c r="F6" s="36"/>
      <c r="G6" s="36"/>
      <c r="H6" s="36"/>
      <c r="I6" s="36"/>
      <c r="J6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672</v>
      </c>
      <c r="C10" s="75" t="s">
        <v>21</v>
      </c>
      <c r="D10" s="77">
        <v>0.8</v>
      </c>
      <c r="E10" s="75" t="s">
        <v>148</v>
      </c>
      <c r="F10" s="78" t="s">
        <v>673</v>
      </c>
      <c r="G10" s="75" t="s">
        <v>674</v>
      </c>
      <c r="H10" s="79">
        <f t="shared" ref="H10:H11" si="1">78000/0.92</f>
        <v>84782.6087</v>
      </c>
      <c r="I10" s="81">
        <f t="shared" ref="I10:I11" si="2">69000/0.92</f>
        <v>75000</v>
      </c>
      <c r="J10" s="39">
        <f t="shared" ref="J10:J11" si="3">D10*H10</f>
        <v>67826.08696</v>
      </c>
    </row>
    <row r="11">
      <c r="A11" s="75">
        <v>2.0</v>
      </c>
      <c r="B11" s="76" t="s">
        <v>672</v>
      </c>
      <c r="C11" s="75" t="s">
        <v>54</v>
      </c>
      <c r="D11" s="77">
        <f>0.8/1.5</f>
        <v>0.5333333333</v>
      </c>
      <c r="E11" s="75" t="s">
        <v>148</v>
      </c>
      <c r="F11" s="78" t="s">
        <v>683</v>
      </c>
      <c r="G11" s="75" t="s">
        <v>674</v>
      </c>
      <c r="H11" s="79">
        <f t="shared" si="1"/>
        <v>84782.6087</v>
      </c>
      <c r="I11" s="81">
        <f t="shared" si="2"/>
        <v>75000</v>
      </c>
      <c r="J11" s="39">
        <f t="shared" si="3"/>
        <v>45217.3913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313</v>
      </c>
      <c r="G14" s="75" t="s">
        <v>38</v>
      </c>
      <c r="H14" s="81">
        <v>25000.0</v>
      </c>
      <c r="I14" s="80"/>
      <c r="J14" s="39">
        <f t="shared" ref="J14:J25" si="4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39">
        <f t="shared" si="4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4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4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4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4"/>
        <v>50</v>
      </c>
    </row>
    <row r="20">
      <c r="A20" s="75">
        <v>7.0</v>
      </c>
      <c r="B20" s="76" t="s">
        <v>680</v>
      </c>
      <c r="C20" s="75" t="s">
        <v>543</v>
      </c>
      <c r="D20" s="83">
        <v>1.0</v>
      </c>
      <c r="E20" s="75" t="s">
        <v>47</v>
      </c>
      <c r="F20" s="75" t="s">
        <v>681</v>
      </c>
      <c r="G20" s="75" t="s">
        <v>682</v>
      </c>
      <c r="H20" s="81">
        <f>90000/100</f>
        <v>900</v>
      </c>
      <c r="I20" s="80"/>
      <c r="J20" s="95">
        <f t="shared" si="4"/>
        <v>900</v>
      </c>
    </row>
    <row r="21">
      <c r="A21" s="75">
        <v>8.0</v>
      </c>
      <c r="B21" s="76" t="s">
        <v>684</v>
      </c>
      <c r="C21" s="75" t="s">
        <v>543</v>
      </c>
      <c r="D21" s="83">
        <v>1.0</v>
      </c>
      <c r="E21" s="75" t="s">
        <v>47</v>
      </c>
      <c r="F21" s="75" t="s">
        <v>685</v>
      </c>
      <c r="G21" s="75" t="s">
        <v>686</v>
      </c>
      <c r="H21" s="81">
        <f>90000/266</f>
        <v>338.3458647</v>
      </c>
      <c r="I21" s="80"/>
      <c r="J21" s="39">
        <f t="shared" si="4"/>
        <v>338.3458647</v>
      </c>
    </row>
    <row r="22">
      <c r="A22" s="75">
        <v>9.0</v>
      </c>
      <c r="I22" s="80"/>
      <c r="J22" s="89">
        <f t="shared" si="4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4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4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4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4000.0</v>
      </c>
      <c r="I28" s="88"/>
      <c r="J28" s="39">
        <f t="shared" ref="J28:J31" si="5">D28*H28</f>
        <v>4000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8500.0</v>
      </c>
      <c r="I29" s="88"/>
      <c r="J29" s="39">
        <f t="shared" si="5"/>
        <v>8500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2000.0</v>
      </c>
      <c r="I30" s="88"/>
      <c r="J30" s="39">
        <f t="shared" si="5"/>
        <v>2000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5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679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SUM(J10)</f>
        <v>67826.08696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2587.045865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86413.13282</v>
      </c>
      <c r="D6" s="6"/>
      <c r="E6" s="65"/>
      <c r="F6" s="36"/>
      <c r="G6" s="36"/>
      <c r="H6" s="36"/>
      <c r="I6" s="36"/>
      <c r="J6" s="36"/>
    </row>
    <row r="8">
      <c r="A8" s="37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18" t="s">
        <v>19</v>
      </c>
    </row>
    <row r="10">
      <c r="A10" s="75">
        <v>1.0</v>
      </c>
      <c r="B10" s="76" t="s">
        <v>672</v>
      </c>
      <c r="C10" s="75" t="s">
        <v>21</v>
      </c>
      <c r="D10" s="77">
        <v>0.8</v>
      </c>
      <c r="E10" s="75" t="s">
        <v>148</v>
      </c>
      <c r="F10" s="78" t="s">
        <v>678</v>
      </c>
      <c r="G10" s="75" t="s">
        <v>674</v>
      </c>
      <c r="H10" s="79">
        <f t="shared" ref="H10:H11" si="1">78000/0.92</f>
        <v>84782.6087</v>
      </c>
      <c r="I10" s="81">
        <f t="shared" ref="I10:I11" si="2">69000/0.92</f>
        <v>75000</v>
      </c>
      <c r="J10" s="23">
        <f t="shared" ref="J10:J11" si="3">D10*H10</f>
        <v>67826.08696</v>
      </c>
    </row>
    <row r="11">
      <c r="A11" s="75">
        <v>2.0</v>
      </c>
      <c r="B11" s="76" t="s">
        <v>672</v>
      </c>
      <c r="C11" s="75" t="s">
        <v>54</v>
      </c>
      <c r="D11" s="77">
        <f>0.8/1.5</f>
        <v>0.5333333333</v>
      </c>
      <c r="E11" s="75" t="s">
        <v>148</v>
      </c>
      <c r="F11" s="78" t="s">
        <v>683</v>
      </c>
      <c r="G11" s="75" t="s">
        <v>674</v>
      </c>
      <c r="H11" s="79">
        <f t="shared" si="1"/>
        <v>84782.6087</v>
      </c>
      <c r="I11" s="81">
        <f t="shared" si="2"/>
        <v>75000</v>
      </c>
      <c r="J11" s="23">
        <f t="shared" si="3"/>
        <v>45217.3913</v>
      </c>
    </row>
    <row r="12">
      <c r="A12" s="40" t="s">
        <v>31</v>
      </c>
      <c r="J12" s="26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27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313</v>
      </c>
      <c r="G14" s="75" t="s">
        <v>38</v>
      </c>
      <c r="H14" s="81">
        <v>25000.0</v>
      </c>
      <c r="I14" s="80"/>
      <c r="J14" s="23">
        <f t="shared" ref="J14:J25" si="4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23">
        <f t="shared" si="4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23">
        <f t="shared" si="4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23">
        <f t="shared" si="4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23">
        <f t="shared" si="4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23">
        <f t="shared" si="4"/>
        <v>50</v>
      </c>
    </row>
    <row r="20">
      <c r="A20" s="75">
        <v>7.0</v>
      </c>
      <c r="B20" s="76" t="s">
        <v>680</v>
      </c>
      <c r="C20" s="75" t="s">
        <v>543</v>
      </c>
      <c r="D20" s="83">
        <v>1.0</v>
      </c>
      <c r="E20" s="75" t="s">
        <v>47</v>
      </c>
      <c r="F20" s="75" t="s">
        <v>681</v>
      </c>
      <c r="G20" s="75" t="s">
        <v>682</v>
      </c>
      <c r="H20" s="81">
        <f>90000/100</f>
        <v>900</v>
      </c>
      <c r="I20" s="80"/>
      <c r="J20" s="105">
        <f t="shared" si="4"/>
        <v>900</v>
      </c>
    </row>
    <row r="21">
      <c r="A21" s="75">
        <v>8.0</v>
      </c>
      <c r="B21" s="76" t="s">
        <v>684</v>
      </c>
      <c r="C21" s="75" t="s">
        <v>543</v>
      </c>
      <c r="D21" s="83">
        <v>1.0</v>
      </c>
      <c r="E21" s="75" t="s">
        <v>47</v>
      </c>
      <c r="F21" s="75" t="s">
        <v>685</v>
      </c>
      <c r="G21" s="75" t="s">
        <v>686</v>
      </c>
      <c r="H21" s="81">
        <f>90000/266</f>
        <v>338.3458647</v>
      </c>
      <c r="I21" s="80"/>
      <c r="J21" s="23">
        <f t="shared" si="4"/>
        <v>338.3458647</v>
      </c>
    </row>
    <row r="22">
      <c r="A22" s="75">
        <v>9.0</v>
      </c>
      <c r="I22" s="80"/>
      <c r="J22" s="23">
        <f t="shared" si="4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23">
        <f t="shared" si="4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23">
        <f t="shared" si="4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23">
        <f t="shared" si="4"/>
        <v>0</v>
      </c>
    </row>
    <row r="26">
      <c r="A26" s="42" t="s">
        <v>63</v>
      </c>
      <c r="J26" s="30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31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4000.0</v>
      </c>
      <c r="I28" s="88"/>
      <c r="J28" s="23">
        <f t="shared" ref="J28:J31" si="5">D28*H28</f>
        <v>4000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8500.0</v>
      </c>
      <c r="I29" s="88"/>
      <c r="J29" s="23">
        <f t="shared" si="5"/>
        <v>8500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2000.0</v>
      </c>
      <c r="I30" s="88"/>
      <c r="J30" s="23">
        <f t="shared" si="5"/>
        <v>2000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23">
        <f t="shared" si="5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37" t="s">
        <v>687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93750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22887.04586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132637.0459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672</v>
      </c>
      <c r="C10" s="75" t="s">
        <v>21</v>
      </c>
      <c r="D10" s="77">
        <v>0.8</v>
      </c>
      <c r="E10" s="75" t="s">
        <v>148</v>
      </c>
      <c r="F10" s="78" t="s">
        <v>673</v>
      </c>
      <c r="G10" s="75" t="s">
        <v>674</v>
      </c>
      <c r="H10" s="79">
        <f>78000/0.92</f>
        <v>84782.6087</v>
      </c>
      <c r="I10" s="81">
        <f>69000/0.92</f>
        <v>75000</v>
      </c>
      <c r="J10" s="39">
        <f t="shared" ref="J10:J11" si="1">D10*H10</f>
        <v>67826.08696</v>
      </c>
    </row>
    <row r="11">
      <c r="A11" s="19">
        <v>2.0</v>
      </c>
      <c r="B11" s="20" t="s">
        <v>689</v>
      </c>
      <c r="C11" s="19" t="s">
        <v>54</v>
      </c>
      <c r="D11" s="21">
        <f>1.06/3</f>
        <v>0.3533333333</v>
      </c>
      <c r="E11" s="75" t="s">
        <v>148</v>
      </c>
      <c r="F11" s="78" t="s">
        <v>676</v>
      </c>
      <c r="G11" s="75" t="s">
        <v>677</v>
      </c>
      <c r="H11" s="52">
        <f>67500/0.92</f>
        <v>73369.56522</v>
      </c>
      <c r="I11" s="22">
        <f>62000/0.92</f>
        <v>67391.30435</v>
      </c>
      <c r="J11" s="39">
        <f t="shared" si="1"/>
        <v>25923.91304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313</v>
      </c>
      <c r="G14" s="75" t="s">
        <v>38</v>
      </c>
      <c r="H14" s="81">
        <v>25000.0</v>
      </c>
      <c r="I14" s="80"/>
      <c r="J14" s="39">
        <f t="shared" ref="J14:J21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39">
        <f t="shared" si="2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126</v>
      </c>
      <c r="C20" s="75" t="s">
        <v>543</v>
      </c>
      <c r="D20" s="94">
        <f>D11</f>
        <v>0.3533333333</v>
      </c>
      <c r="E20" s="75" t="s">
        <v>47</v>
      </c>
      <c r="F20" s="75" t="s">
        <v>692</v>
      </c>
      <c r="G20" s="75" t="s">
        <v>682</v>
      </c>
      <c r="H20" s="81">
        <v>60000.0</v>
      </c>
      <c r="I20" s="80"/>
      <c r="J20" s="95">
        <f t="shared" si="2"/>
        <v>21200</v>
      </c>
    </row>
    <row r="21">
      <c r="A21" s="75">
        <v>8.0</v>
      </c>
      <c r="B21" s="76" t="s">
        <v>684</v>
      </c>
      <c r="C21" s="75" t="s">
        <v>543</v>
      </c>
      <c r="D21" s="83">
        <v>1.0</v>
      </c>
      <c r="E21" s="75" t="s">
        <v>47</v>
      </c>
      <c r="F21" s="75" t="s">
        <v>685</v>
      </c>
      <c r="G21" s="75" t="s">
        <v>686</v>
      </c>
      <c r="H21" s="81">
        <f>90000/266</f>
        <v>338.3458647</v>
      </c>
      <c r="I21" s="80"/>
      <c r="J21" s="95">
        <f t="shared" si="2"/>
        <v>338.3458647</v>
      </c>
    </row>
    <row r="22">
      <c r="A22" s="75">
        <v>9.0</v>
      </c>
      <c r="I22" s="80"/>
      <c r="J22" s="39">
        <f>D21*H21</f>
        <v>338.3458647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ref="J23:J25" si="3">D23*H23</f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3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3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4000.0</v>
      </c>
      <c r="I28" s="88"/>
      <c r="J28" s="39">
        <f t="shared" ref="J28:J31" si="4">D28*H28</f>
        <v>4000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8500.0</v>
      </c>
      <c r="I29" s="88"/>
      <c r="J29" s="39">
        <f t="shared" si="4"/>
        <v>8500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2000.0</v>
      </c>
      <c r="I30" s="88"/>
      <c r="J30" s="39">
        <f t="shared" si="4"/>
        <v>2000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4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37" t="s">
        <v>688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102228.2609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22887.04586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141115.3067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672</v>
      </c>
      <c r="C10" s="75" t="s">
        <v>21</v>
      </c>
      <c r="D10" s="77">
        <v>0.9</v>
      </c>
      <c r="E10" s="75" t="s">
        <v>148</v>
      </c>
      <c r="F10" s="78" t="s">
        <v>673</v>
      </c>
      <c r="G10" s="75" t="s">
        <v>674</v>
      </c>
      <c r="H10" s="79">
        <f>78000/0.92</f>
        <v>84782.6087</v>
      </c>
      <c r="I10" s="81">
        <f>69000/0.92</f>
        <v>75000</v>
      </c>
      <c r="J10" s="39">
        <f t="shared" ref="J10:J11" si="1">D10*H10</f>
        <v>76304.34783</v>
      </c>
    </row>
    <row r="11">
      <c r="A11" s="19">
        <v>2.0</v>
      </c>
      <c r="B11" s="20" t="s">
        <v>689</v>
      </c>
      <c r="C11" s="19" t="s">
        <v>54</v>
      </c>
      <c r="D11" s="21">
        <f>1.06/3</f>
        <v>0.3533333333</v>
      </c>
      <c r="E11" s="75" t="s">
        <v>148</v>
      </c>
      <c r="F11" s="78" t="s">
        <v>676</v>
      </c>
      <c r="G11" s="75" t="s">
        <v>677</v>
      </c>
      <c r="H11" s="52">
        <f>67500/0.92</f>
        <v>73369.56522</v>
      </c>
      <c r="I11" s="22">
        <f>62000/0.92</f>
        <v>67391.30435</v>
      </c>
      <c r="J11" s="39">
        <f t="shared" si="1"/>
        <v>25923.91304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313</v>
      </c>
      <c r="G14" s="75" t="s">
        <v>38</v>
      </c>
      <c r="H14" s="81">
        <v>25000.0</v>
      </c>
      <c r="I14" s="80"/>
      <c r="J14" s="39">
        <f t="shared" ref="J14:J25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39">
        <f t="shared" si="2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126</v>
      </c>
      <c r="C20" s="75" t="s">
        <v>543</v>
      </c>
      <c r="D20" s="94">
        <f>D11</f>
        <v>0.3533333333</v>
      </c>
      <c r="E20" s="75" t="s">
        <v>47</v>
      </c>
      <c r="F20" s="75" t="s">
        <v>692</v>
      </c>
      <c r="G20" s="75" t="s">
        <v>682</v>
      </c>
      <c r="H20" s="81">
        <v>60000.0</v>
      </c>
      <c r="I20" s="80"/>
      <c r="J20" s="95">
        <f t="shared" si="2"/>
        <v>21200</v>
      </c>
    </row>
    <row r="21">
      <c r="A21" s="75">
        <v>8.0</v>
      </c>
      <c r="B21" s="76" t="s">
        <v>684</v>
      </c>
      <c r="C21" s="75" t="s">
        <v>543</v>
      </c>
      <c r="D21" s="83">
        <v>1.0</v>
      </c>
      <c r="E21" s="75" t="s">
        <v>47</v>
      </c>
      <c r="F21" s="75" t="s">
        <v>685</v>
      </c>
      <c r="G21" s="75" t="s">
        <v>686</v>
      </c>
      <c r="H21" s="81">
        <f>90000/266</f>
        <v>338.3458647</v>
      </c>
      <c r="I21" s="80"/>
      <c r="J21" s="39">
        <f t="shared" si="2"/>
        <v>338.3458647</v>
      </c>
    </row>
    <row r="22">
      <c r="A22" s="75">
        <v>9.0</v>
      </c>
      <c r="I22" s="80"/>
      <c r="J22" s="8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4000.0</v>
      </c>
      <c r="I28" s="88"/>
      <c r="J28" s="39">
        <f t="shared" ref="J28:J31" si="3">D28*H28</f>
        <v>4000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8500.0</v>
      </c>
      <c r="I29" s="88"/>
      <c r="J29" s="39">
        <f t="shared" si="3"/>
        <v>8500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2000.0</v>
      </c>
      <c r="I30" s="88"/>
      <c r="J30" s="39">
        <f t="shared" si="3"/>
        <v>2000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37" t="s">
        <v>690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92282.6087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21687.04586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129969.6546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672</v>
      </c>
      <c r="C10" s="75" t="s">
        <v>21</v>
      </c>
      <c r="D10" s="77">
        <v>0.8</v>
      </c>
      <c r="E10" s="75" t="s">
        <v>148</v>
      </c>
      <c r="F10" s="78" t="s">
        <v>673</v>
      </c>
      <c r="G10" s="75" t="s">
        <v>674</v>
      </c>
      <c r="H10" s="79">
        <f>78000/0.92</f>
        <v>84782.6087</v>
      </c>
      <c r="I10" s="81">
        <f>69000/0.92</f>
        <v>75000</v>
      </c>
      <c r="J10" s="39">
        <f t="shared" ref="J10:J11" si="1">D10*H10</f>
        <v>67826.08696</v>
      </c>
    </row>
    <row r="11">
      <c r="A11" s="75">
        <v>2.0</v>
      </c>
      <c r="B11" s="20" t="s">
        <v>689</v>
      </c>
      <c r="C11" s="19" t="s">
        <v>54</v>
      </c>
      <c r="D11" s="77">
        <f>1/3</f>
        <v>0.3333333333</v>
      </c>
      <c r="E11" s="75" t="s">
        <v>148</v>
      </c>
      <c r="F11" s="78" t="s">
        <v>693</v>
      </c>
      <c r="G11" s="75" t="s">
        <v>674</v>
      </c>
      <c r="H11" s="52">
        <f>67500/0.92</f>
        <v>73369.56522</v>
      </c>
      <c r="I11" s="22">
        <f>62000/0.92</f>
        <v>67391.30435</v>
      </c>
      <c r="J11" s="39">
        <f t="shared" si="1"/>
        <v>24456.52174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313</v>
      </c>
      <c r="G14" s="75" t="s">
        <v>38</v>
      </c>
      <c r="H14" s="81">
        <v>25000.0</v>
      </c>
      <c r="I14" s="80"/>
      <c r="J14" s="39">
        <f t="shared" ref="J14:J25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39">
        <f t="shared" si="2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126</v>
      </c>
      <c r="C20" s="75" t="s">
        <v>543</v>
      </c>
      <c r="D20" s="94">
        <f>D11</f>
        <v>0.3333333333</v>
      </c>
      <c r="E20" s="75" t="s">
        <v>47</v>
      </c>
      <c r="F20" s="75" t="s">
        <v>692</v>
      </c>
      <c r="G20" s="75" t="s">
        <v>682</v>
      </c>
      <c r="H20" s="81">
        <v>60000.0</v>
      </c>
      <c r="I20" s="80"/>
      <c r="J20" s="95">
        <f t="shared" si="2"/>
        <v>20000</v>
      </c>
    </row>
    <row r="21">
      <c r="A21" s="75">
        <v>8.0</v>
      </c>
      <c r="B21" s="76" t="s">
        <v>684</v>
      </c>
      <c r="C21" s="75" t="s">
        <v>543</v>
      </c>
      <c r="D21" s="83">
        <v>1.0</v>
      </c>
      <c r="E21" s="75" t="s">
        <v>47</v>
      </c>
      <c r="F21" s="75" t="s">
        <v>685</v>
      </c>
      <c r="G21" s="75" t="s">
        <v>686</v>
      </c>
      <c r="H21" s="81">
        <f>90000/266</f>
        <v>338.3458647</v>
      </c>
      <c r="I21" s="80"/>
      <c r="J21" s="39">
        <f t="shared" si="2"/>
        <v>338.3458647</v>
      </c>
    </row>
    <row r="22">
      <c r="A22" s="75">
        <v>9.0</v>
      </c>
      <c r="I22" s="80"/>
      <c r="J22" s="8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4000.0</v>
      </c>
      <c r="I28" s="88"/>
      <c r="J28" s="39">
        <f t="shared" ref="J28:J31" si="3">D28*H28</f>
        <v>4000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8500.0</v>
      </c>
      <c r="I29" s="88"/>
      <c r="J29" s="39">
        <f t="shared" si="3"/>
        <v>8500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2000.0</v>
      </c>
      <c r="I30" s="88"/>
      <c r="J30" s="39">
        <f t="shared" si="3"/>
        <v>2000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37" t="s">
        <v>691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115434.7826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33687.04586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165121.8285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 t="s">
        <v>672</v>
      </c>
      <c r="C10" s="75" t="s">
        <v>21</v>
      </c>
      <c r="D10" s="77">
        <v>0.9</v>
      </c>
      <c r="E10" s="75" t="s">
        <v>148</v>
      </c>
      <c r="F10" s="78" t="s">
        <v>673</v>
      </c>
      <c r="G10" s="75" t="s">
        <v>674</v>
      </c>
      <c r="H10" s="79">
        <f>78000/0.92</f>
        <v>84782.6087</v>
      </c>
      <c r="I10" s="81">
        <f>69000/0.92</f>
        <v>75000</v>
      </c>
      <c r="J10" s="39">
        <f t="shared" ref="J10:J11" si="1">D10*H10</f>
        <v>76304.34783</v>
      </c>
    </row>
    <row r="11">
      <c r="A11" s="75">
        <v>2.0</v>
      </c>
      <c r="B11" s="20" t="s">
        <v>689</v>
      </c>
      <c r="C11" s="19" t="s">
        <v>54</v>
      </c>
      <c r="D11" s="77">
        <f>0.8/1.5</f>
        <v>0.5333333333</v>
      </c>
      <c r="E11" s="75" t="s">
        <v>148</v>
      </c>
      <c r="F11" s="78" t="s">
        <v>683</v>
      </c>
      <c r="G11" s="75" t="s">
        <v>674</v>
      </c>
      <c r="H11" s="52">
        <f>67500/0.92</f>
        <v>73369.56522</v>
      </c>
      <c r="I11" s="22">
        <f>62000/0.92</f>
        <v>67391.30435</v>
      </c>
      <c r="J11" s="39">
        <f t="shared" si="1"/>
        <v>39130.43478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313</v>
      </c>
      <c r="G14" s="75" t="s">
        <v>38</v>
      </c>
      <c r="H14" s="81">
        <v>25000.0</v>
      </c>
      <c r="I14" s="80"/>
      <c r="J14" s="39">
        <f t="shared" ref="J14:J25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39">
        <f t="shared" si="2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126</v>
      </c>
      <c r="C20" s="75" t="s">
        <v>543</v>
      </c>
      <c r="D20" s="94">
        <f>D11</f>
        <v>0.5333333333</v>
      </c>
      <c r="E20" s="75" t="s">
        <v>47</v>
      </c>
      <c r="F20" s="75" t="s">
        <v>692</v>
      </c>
      <c r="G20" s="75" t="s">
        <v>682</v>
      </c>
      <c r="H20" s="81">
        <v>60000.0</v>
      </c>
      <c r="I20" s="80"/>
      <c r="J20" s="95">
        <f t="shared" si="2"/>
        <v>32000</v>
      </c>
    </row>
    <row r="21">
      <c r="A21" s="75">
        <v>8.0</v>
      </c>
      <c r="B21" s="76" t="s">
        <v>684</v>
      </c>
      <c r="C21" s="75" t="s">
        <v>543</v>
      </c>
      <c r="D21" s="83">
        <v>1.0</v>
      </c>
      <c r="E21" s="75" t="s">
        <v>47</v>
      </c>
      <c r="F21" s="75" t="s">
        <v>685</v>
      </c>
      <c r="G21" s="75" t="s">
        <v>686</v>
      </c>
      <c r="H21" s="81">
        <f>90000/266</f>
        <v>338.3458647</v>
      </c>
      <c r="I21" s="80"/>
      <c r="J21" s="39">
        <f t="shared" si="2"/>
        <v>338.3458647</v>
      </c>
    </row>
    <row r="22">
      <c r="A22" s="75">
        <v>9.0</v>
      </c>
      <c r="I22" s="80"/>
      <c r="J22" s="8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23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23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23">
        <f t="shared" si="2"/>
        <v>0</v>
      </c>
    </row>
    <row r="26">
      <c r="A26" s="42" t="s">
        <v>63</v>
      </c>
      <c r="J26" s="30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31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4000.0</v>
      </c>
      <c r="I28" s="88"/>
      <c r="J28" s="23">
        <f t="shared" ref="J28:J31" si="3">D28*H28</f>
        <v>4000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8500.0</v>
      </c>
      <c r="I29" s="88"/>
      <c r="J29" s="23">
        <f t="shared" si="3"/>
        <v>8500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2000.0</v>
      </c>
      <c r="I30" s="88"/>
      <c r="J30" s="23">
        <f t="shared" si="3"/>
        <v>2000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23">
        <f t="shared" si="3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694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83152.17391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2587.045865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101739.2198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20" t="s">
        <v>689</v>
      </c>
      <c r="C10" s="75" t="s">
        <v>21</v>
      </c>
      <c r="D10" s="77">
        <v>0.8</v>
      </c>
      <c r="E10" s="75" t="s">
        <v>148</v>
      </c>
      <c r="F10" s="78" t="s">
        <v>673</v>
      </c>
      <c r="G10" s="75" t="s">
        <v>674</v>
      </c>
      <c r="H10" s="52">
        <f t="shared" ref="H10:H11" si="1">67500/0.92</f>
        <v>73369.56522</v>
      </c>
      <c r="I10" s="22">
        <f t="shared" ref="I10:I11" si="2">62000/0.92</f>
        <v>67391.30435</v>
      </c>
      <c r="J10" s="39">
        <f t="shared" ref="J10:J11" si="3">D10*H10</f>
        <v>58695.65217</v>
      </c>
    </row>
    <row r="11">
      <c r="A11" s="75">
        <v>2.0</v>
      </c>
      <c r="B11" s="20" t="s">
        <v>689</v>
      </c>
      <c r="C11" s="75" t="s">
        <v>54</v>
      </c>
      <c r="D11" s="77">
        <f>1/3</f>
        <v>0.3333333333</v>
      </c>
      <c r="E11" s="75" t="s">
        <v>148</v>
      </c>
      <c r="F11" s="78" t="s">
        <v>676</v>
      </c>
      <c r="G11" s="75" t="s">
        <v>677</v>
      </c>
      <c r="H11" s="52">
        <f t="shared" si="1"/>
        <v>73369.56522</v>
      </c>
      <c r="I11" s="22">
        <f t="shared" si="2"/>
        <v>67391.30435</v>
      </c>
      <c r="J11" s="39">
        <f t="shared" si="3"/>
        <v>24456.52174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313</v>
      </c>
      <c r="G14" s="75" t="s">
        <v>38</v>
      </c>
      <c r="H14" s="81">
        <v>25000.0</v>
      </c>
      <c r="I14" s="80"/>
      <c r="J14" s="39">
        <f t="shared" ref="J14:J25" si="4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39">
        <f t="shared" si="4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4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4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4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4"/>
        <v>50</v>
      </c>
    </row>
    <row r="20">
      <c r="A20" s="75">
        <v>7.0</v>
      </c>
      <c r="B20" s="76" t="s">
        <v>680</v>
      </c>
      <c r="C20" s="75" t="s">
        <v>543</v>
      </c>
      <c r="D20" s="83">
        <v>1.0</v>
      </c>
      <c r="E20" s="75" t="s">
        <v>47</v>
      </c>
      <c r="F20" s="75" t="s">
        <v>681</v>
      </c>
      <c r="G20" s="75" t="s">
        <v>682</v>
      </c>
      <c r="H20" s="81">
        <f>90000/100</f>
        <v>900</v>
      </c>
      <c r="I20" s="80"/>
      <c r="J20" s="95">
        <f t="shared" si="4"/>
        <v>900</v>
      </c>
    </row>
    <row r="21">
      <c r="A21" s="75">
        <v>8.0</v>
      </c>
      <c r="B21" s="76" t="s">
        <v>684</v>
      </c>
      <c r="C21" s="76" t="s">
        <v>543</v>
      </c>
      <c r="D21" s="83">
        <v>1.0</v>
      </c>
      <c r="E21" s="75" t="s">
        <v>47</v>
      </c>
      <c r="F21" s="75" t="s">
        <v>685</v>
      </c>
      <c r="G21" s="75" t="s">
        <v>686</v>
      </c>
      <c r="H21" s="81">
        <f>90000/266</f>
        <v>338.3458647</v>
      </c>
      <c r="I21" s="80"/>
      <c r="J21" s="39">
        <f t="shared" si="4"/>
        <v>338.3458647</v>
      </c>
    </row>
    <row r="22">
      <c r="A22" s="75">
        <v>9.0</v>
      </c>
      <c r="I22" s="80"/>
      <c r="J22" s="89">
        <f t="shared" si="4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4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4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4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4000.0</v>
      </c>
      <c r="I28" s="88"/>
      <c r="J28" s="39">
        <f t="shared" ref="J28:J31" si="5">D28*H28</f>
        <v>4000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8500.0</v>
      </c>
      <c r="I29" s="88"/>
      <c r="J29" s="39">
        <f t="shared" si="5"/>
        <v>8500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2000.0</v>
      </c>
      <c r="I30" s="88"/>
      <c r="J30" s="39">
        <f t="shared" si="5"/>
        <v>2000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5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695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90489.13043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2587.045865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109076.1763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20" t="s">
        <v>689</v>
      </c>
      <c r="C10" s="75" t="s">
        <v>21</v>
      </c>
      <c r="D10" s="77">
        <v>0.9</v>
      </c>
      <c r="E10" s="75" t="s">
        <v>148</v>
      </c>
      <c r="F10" s="78" t="s">
        <v>678</v>
      </c>
      <c r="G10" s="75" t="s">
        <v>674</v>
      </c>
      <c r="H10" s="52">
        <f t="shared" ref="H10:H11" si="1">67500/0.92</f>
        <v>73369.56522</v>
      </c>
      <c r="I10" s="22">
        <f t="shared" ref="I10:I11" si="2">62000/0.92</f>
        <v>67391.30435</v>
      </c>
      <c r="J10" s="39">
        <f t="shared" ref="J10:J11" si="3">D10*H10</f>
        <v>66032.6087</v>
      </c>
    </row>
    <row r="11">
      <c r="A11" s="75">
        <v>2.0</v>
      </c>
      <c r="B11" s="20" t="s">
        <v>689</v>
      </c>
      <c r="C11" s="75" t="s">
        <v>54</v>
      </c>
      <c r="D11" s="77">
        <f>1/3</f>
        <v>0.3333333333</v>
      </c>
      <c r="E11" s="75" t="s">
        <v>148</v>
      </c>
      <c r="F11" s="78" t="s">
        <v>676</v>
      </c>
      <c r="G11" s="75" t="s">
        <v>677</v>
      </c>
      <c r="H11" s="52">
        <f t="shared" si="1"/>
        <v>73369.56522</v>
      </c>
      <c r="I11" s="22">
        <f t="shared" si="2"/>
        <v>67391.30435</v>
      </c>
      <c r="J11" s="39">
        <f t="shared" si="3"/>
        <v>24456.52174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313</v>
      </c>
      <c r="G14" s="75" t="s">
        <v>38</v>
      </c>
      <c r="H14" s="81">
        <v>25000.0</v>
      </c>
      <c r="I14" s="80"/>
      <c r="J14" s="39">
        <f t="shared" ref="J14:J25" si="4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39">
        <f t="shared" si="4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4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4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4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4"/>
        <v>50</v>
      </c>
    </row>
    <row r="20">
      <c r="A20" s="75">
        <v>7.0</v>
      </c>
      <c r="B20" s="76" t="s">
        <v>680</v>
      </c>
      <c r="C20" s="75" t="s">
        <v>543</v>
      </c>
      <c r="D20" s="83">
        <v>1.0</v>
      </c>
      <c r="E20" s="75" t="s">
        <v>47</v>
      </c>
      <c r="F20" s="75" t="s">
        <v>681</v>
      </c>
      <c r="G20" s="75" t="s">
        <v>682</v>
      </c>
      <c r="H20" s="81">
        <f>90000/100</f>
        <v>900</v>
      </c>
      <c r="I20" s="80"/>
      <c r="J20" s="95">
        <f t="shared" si="4"/>
        <v>900</v>
      </c>
    </row>
    <row r="21">
      <c r="A21" s="75">
        <v>8.0</v>
      </c>
      <c r="B21" s="76" t="s">
        <v>684</v>
      </c>
      <c r="C21" s="76" t="s">
        <v>543</v>
      </c>
      <c r="D21" s="83">
        <v>1.0</v>
      </c>
      <c r="E21" s="75" t="s">
        <v>47</v>
      </c>
      <c r="F21" s="75" t="s">
        <v>685</v>
      </c>
      <c r="G21" s="75" t="s">
        <v>686</v>
      </c>
      <c r="H21" s="81">
        <f>90000/266</f>
        <v>338.3458647</v>
      </c>
      <c r="I21" s="80"/>
      <c r="J21" s="39">
        <f t="shared" si="4"/>
        <v>338.3458647</v>
      </c>
    </row>
    <row r="22">
      <c r="A22" s="75">
        <v>9.0</v>
      </c>
      <c r="I22" s="80"/>
      <c r="J22" s="89">
        <f t="shared" si="4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4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4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4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4000.0</v>
      </c>
      <c r="I28" s="88"/>
      <c r="J28" s="39">
        <f t="shared" ref="J28:J31" si="5">D28*H28</f>
        <v>4000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8500.0</v>
      </c>
      <c r="I29" s="88"/>
      <c r="J29" s="39">
        <f t="shared" si="5"/>
        <v>8500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2000.0</v>
      </c>
      <c r="I30" s="88"/>
      <c r="J30" s="39">
        <f t="shared" si="5"/>
        <v>2000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5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696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97826.08696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2587.045865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116413.1328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20" t="s">
        <v>689</v>
      </c>
      <c r="C10" s="75" t="s">
        <v>21</v>
      </c>
      <c r="D10" s="77">
        <v>0.8</v>
      </c>
      <c r="E10" s="75" t="s">
        <v>148</v>
      </c>
      <c r="F10" s="78" t="s">
        <v>673</v>
      </c>
      <c r="G10" s="75" t="s">
        <v>674</v>
      </c>
      <c r="H10" s="52">
        <f t="shared" ref="H10:H11" si="1">67500/0.92</f>
        <v>73369.56522</v>
      </c>
      <c r="I10" s="22">
        <f t="shared" ref="I10:I11" si="2">62000/0.92</f>
        <v>67391.30435</v>
      </c>
      <c r="J10" s="39">
        <f t="shared" ref="J10:J11" si="3">D10*H10</f>
        <v>58695.65217</v>
      </c>
    </row>
    <row r="11">
      <c r="A11" s="75">
        <v>2.0</v>
      </c>
      <c r="B11" s="20" t="s">
        <v>689</v>
      </c>
      <c r="C11" s="75" t="s">
        <v>54</v>
      </c>
      <c r="D11" s="77">
        <f>0.8/1.5</f>
        <v>0.5333333333</v>
      </c>
      <c r="E11" s="75" t="s">
        <v>148</v>
      </c>
      <c r="F11" s="78" t="s">
        <v>683</v>
      </c>
      <c r="G11" s="75" t="s">
        <v>674</v>
      </c>
      <c r="H11" s="52">
        <f t="shared" si="1"/>
        <v>73369.56522</v>
      </c>
      <c r="I11" s="22">
        <f t="shared" si="2"/>
        <v>67391.30435</v>
      </c>
      <c r="J11" s="39">
        <f t="shared" si="3"/>
        <v>39130.43478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313</v>
      </c>
      <c r="G14" s="75" t="s">
        <v>38</v>
      </c>
      <c r="H14" s="81">
        <v>25000.0</v>
      </c>
      <c r="I14" s="80"/>
      <c r="J14" s="39">
        <f t="shared" ref="J14:J25" si="4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39">
        <f t="shared" si="4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4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4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4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4"/>
        <v>50</v>
      </c>
    </row>
    <row r="20">
      <c r="A20" s="75">
        <v>7.0</v>
      </c>
      <c r="B20" s="76" t="s">
        <v>680</v>
      </c>
      <c r="C20" s="75" t="s">
        <v>543</v>
      </c>
      <c r="D20" s="83">
        <v>1.0</v>
      </c>
      <c r="E20" s="75" t="s">
        <v>47</v>
      </c>
      <c r="F20" s="75" t="s">
        <v>681</v>
      </c>
      <c r="G20" s="75" t="s">
        <v>682</v>
      </c>
      <c r="H20" s="81">
        <f>90000/100</f>
        <v>900</v>
      </c>
      <c r="I20" s="80"/>
      <c r="J20" s="95">
        <f t="shared" si="4"/>
        <v>900</v>
      </c>
    </row>
    <row r="21">
      <c r="A21" s="75">
        <v>8.0</v>
      </c>
      <c r="B21" s="76" t="s">
        <v>684</v>
      </c>
      <c r="C21" s="75" t="s">
        <v>543</v>
      </c>
      <c r="D21" s="83">
        <v>1.0</v>
      </c>
      <c r="E21" s="75" t="s">
        <v>47</v>
      </c>
      <c r="F21" s="75" t="s">
        <v>685</v>
      </c>
      <c r="G21" s="75" t="s">
        <v>686</v>
      </c>
      <c r="H21" s="81">
        <f>90000/266</f>
        <v>338.3458647</v>
      </c>
      <c r="I21" s="80"/>
      <c r="J21" s="39">
        <f t="shared" si="4"/>
        <v>338.3458647</v>
      </c>
    </row>
    <row r="22">
      <c r="A22" s="75">
        <v>9.0</v>
      </c>
      <c r="I22" s="80"/>
      <c r="J22" s="89">
        <f t="shared" si="4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4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4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4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4000.0</v>
      </c>
      <c r="I28" s="88"/>
      <c r="J28" s="39">
        <f t="shared" ref="J28:J31" si="5">D28*H28</f>
        <v>4000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8500.0</v>
      </c>
      <c r="I29" s="88"/>
      <c r="J29" s="39">
        <f t="shared" si="5"/>
        <v>8500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2000.0</v>
      </c>
      <c r="I30" s="88"/>
      <c r="J30" s="39">
        <f t="shared" si="5"/>
        <v>2000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39">
        <f t="shared" si="5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697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105163.0435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2587.045865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16000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123750.0893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1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18" t="s">
        <v>19</v>
      </c>
    </row>
    <row r="10">
      <c r="A10" s="75">
        <v>1.0</v>
      </c>
      <c r="B10" s="20" t="s">
        <v>689</v>
      </c>
      <c r="C10" s="75" t="s">
        <v>21</v>
      </c>
      <c r="D10" s="77">
        <v>0.9</v>
      </c>
      <c r="E10" s="75" t="s">
        <v>148</v>
      </c>
      <c r="F10" s="78" t="s">
        <v>678</v>
      </c>
      <c r="G10" s="75" t="s">
        <v>674</v>
      </c>
      <c r="H10" s="52">
        <f t="shared" ref="H10:H11" si="1">67500/0.92</f>
        <v>73369.56522</v>
      </c>
      <c r="I10" s="22">
        <f t="shared" ref="I10:I11" si="2">62000/0.92</f>
        <v>67391.30435</v>
      </c>
      <c r="J10" s="23">
        <f t="shared" ref="J10:J11" si="3">D10*H10</f>
        <v>66032.6087</v>
      </c>
    </row>
    <row r="11">
      <c r="A11" s="75">
        <v>2.0</v>
      </c>
      <c r="B11" s="20" t="s">
        <v>689</v>
      </c>
      <c r="C11" s="75" t="s">
        <v>54</v>
      </c>
      <c r="D11" s="77">
        <f>0.8/1.5</f>
        <v>0.5333333333</v>
      </c>
      <c r="E11" s="75" t="s">
        <v>148</v>
      </c>
      <c r="F11" s="78" t="s">
        <v>683</v>
      </c>
      <c r="G11" s="75" t="s">
        <v>674</v>
      </c>
      <c r="H11" s="52">
        <f t="shared" si="1"/>
        <v>73369.56522</v>
      </c>
      <c r="I11" s="22">
        <f t="shared" si="2"/>
        <v>67391.30435</v>
      </c>
      <c r="J11" s="23">
        <f t="shared" si="3"/>
        <v>39130.43478</v>
      </c>
    </row>
    <row r="12">
      <c r="A12" s="40" t="s">
        <v>31</v>
      </c>
      <c r="J12" s="26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27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313</v>
      </c>
      <c r="G14" s="75" t="s">
        <v>38</v>
      </c>
      <c r="H14" s="81">
        <v>25000.0</v>
      </c>
      <c r="I14" s="80"/>
      <c r="J14" s="23">
        <f t="shared" ref="J14:J25" si="4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293</v>
      </c>
      <c r="G15" s="75" t="s">
        <v>38</v>
      </c>
      <c r="H15" s="81">
        <v>13000.0</v>
      </c>
      <c r="I15" s="80"/>
      <c r="J15" s="23">
        <f t="shared" si="4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23">
        <f t="shared" si="4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23">
        <f t="shared" si="4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23">
        <f t="shared" si="4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23">
        <f t="shared" si="4"/>
        <v>50</v>
      </c>
    </row>
    <row r="20">
      <c r="A20" s="75">
        <v>7.0</v>
      </c>
      <c r="B20" s="76" t="s">
        <v>680</v>
      </c>
      <c r="C20" s="75" t="s">
        <v>543</v>
      </c>
      <c r="D20" s="83">
        <v>1.0</v>
      </c>
      <c r="E20" s="75" t="s">
        <v>47</v>
      </c>
      <c r="F20" s="75" t="s">
        <v>681</v>
      </c>
      <c r="G20" s="75" t="s">
        <v>682</v>
      </c>
      <c r="H20" s="81">
        <f>90000/100</f>
        <v>900</v>
      </c>
      <c r="I20" s="80"/>
      <c r="J20" s="105">
        <f t="shared" si="4"/>
        <v>900</v>
      </c>
    </row>
    <row r="21">
      <c r="A21" s="75">
        <v>8.0</v>
      </c>
      <c r="B21" s="76" t="s">
        <v>684</v>
      </c>
      <c r="C21" s="76" t="s">
        <v>543</v>
      </c>
      <c r="D21" s="83">
        <v>1.0</v>
      </c>
      <c r="E21" s="75" t="s">
        <v>47</v>
      </c>
      <c r="F21" s="75" t="s">
        <v>685</v>
      </c>
      <c r="G21" s="75" t="s">
        <v>686</v>
      </c>
      <c r="H21" s="81">
        <f>90000/266</f>
        <v>338.3458647</v>
      </c>
      <c r="I21" s="80"/>
      <c r="J21" s="23">
        <f t="shared" si="4"/>
        <v>338.3458647</v>
      </c>
    </row>
    <row r="22">
      <c r="A22" s="75">
        <v>9.0</v>
      </c>
      <c r="I22" s="80"/>
      <c r="J22" s="23">
        <f t="shared" si="4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23">
        <f t="shared" si="4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23">
        <f t="shared" si="4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23">
        <f t="shared" si="4"/>
        <v>0</v>
      </c>
    </row>
    <row r="26">
      <c r="A26" s="42" t="s">
        <v>63</v>
      </c>
      <c r="J26" s="30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31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4000.0</v>
      </c>
      <c r="I28" s="88"/>
      <c r="J28" s="23">
        <f t="shared" ref="J28:J31" si="5">D28*H28</f>
        <v>4000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8500.0</v>
      </c>
      <c r="I29" s="88"/>
      <c r="J29" s="23">
        <f t="shared" si="5"/>
        <v>8500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2000.0</v>
      </c>
      <c r="I30" s="88"/>
      <c r="J30" s="23">
        <f t="shared" si="5"/>
        <v>2000</v>
      </c>
    </row>
    <row r="31">
      <c r="A31" s="75">
        <v>4.0</v>
      </c>
      <c r="B31" s="75" t="s">
        <v>476</v>
      </c>
      <c r="C31" s="86"/>
      <c r="D31" s="87">
        <v>1.0</v>
      </c>
      <c r="E31" s="75" t="s">
        <v>47</v>
      </c>
      <c r="F31" s="89"/>
      <c r="G31" s="75" t="s">
        <v>68</v>
      </c>
      <c r="H31" s="81">
        <v>1500.0</v>
      </c>
      <c r="I31" s="88"/>
      <c r="J31" s="23">
        <f t="shared" si="5"/>
        <v>1500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699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1348.7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14500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15848.7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700</v>
      </c>
      <c r="C10" s="19" t="s">
        <v>21</v>
      </c>
      <c r="D10" s="21"/>
      <c r="E10" s="19" t="s">
        <v>225</v>
      </c>
      <c r="F10" s="44" t="s">
        <v>701</v>
      </c>
      <c r="G10" s="19" t="s">
        <v>677</v>
      </c>
      <c r="H10" s="52">
        <v>75000.0</v>
      </c>
      <c r="I10" s="22">
        <v>69000.0</v>
      </c>
      <c r="J10" s="23">
        <f t="shared" ref="J10:J11" si="1">D10*H10</f>
        <v>0</v>
      </c>
    </row>
    <row r="11">
      <c r="A11" s="19">
        <v>2.0</v>
      </c>
      <c r="B11" s="20" t="s">
        <v>689</v>
      </c>
      <c r="C11" s="19" t="s">
        <v>54</v>
      </c>
      <c r="D11" s="21"/>
      <c r="E11" s="19" t="s">
        <v>225</v>
      </c>
      <c r="F11" s="44" t="s">
        <v>702</v>
      </c>
      <c r="G11" s="19" t="s">
        <v>677</v>
      </c>
      <c r="H11" s="52">
        <v>67500.0</v>
      </c>
      <c r="I11" s="22">
        <v>62000.0</v>
      </c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1/100</f>
        <v>0.01</v>
      </c>
      <c r="E14" s="19" t="s">
        <v>35</v>
      </c>
      <c r="F14" s="19" t="s">
        <v>313</v>
      </c>
      <c r="G14" s="19" t="s">
        <v>38</v>
      </c>
      <c r="H14" s="22">
        <v>25000.0</v>
      </c>
      <c r="I14" s="24"/>
      <c r="J14" s="23">
        <f t="shared" ref="J14:J25" si="2">D14*H14</f>
        <v>250</v>
      </c>
    </row>
    <row r="15">
      <c r="A15" s="19">
        <v>2.0</v>
      </c>
      <c r="B15" s="20" t="s">
        <v>39</v>
      </c>
      <c r="C15" s="19" t="s">
        <v>21</v>
      </c>
      <c r="D15" s="21">
        <f>4/100</f>
        <v>0.04</v>
      </c>
      <c r="E15" s="19" t="s">
        <v>40</v>
      </c>
      <c r="F15" s="19" t="s">
        <v>293</v>
      </c>
      <c r="G15" s="19" t="s">
        <v>38</v>
      </c>
      <c r="H15" s="22">
        <v>13000.0</v>
      </c>
      <c r="I15" s="24"/>
      <c r="J15" s="23">
        <f t="shared" si="2"/>
        <v>520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198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75">
        <v>7.0</v>
      </c>
      <c r="B20" s="76" t="s">
        <v>126</v>
      </c>
      <c r="C20" s="75"/>
      <c r="D20" s="94">
        <v>0.0</v>
      </c>
      <c r="E20" s="75" t="s">
        <v>47</v>
      </c>
      <c r="F20" s="75" t="s">
        <v>692</v>
      </c>
      <c r="G20" s="75" t="s">
        <v>682</v>
      </c>
      <c r="H20" s="81"/>
      <c r="I20" s="80"/>
      <c r="J20" s="105">
        <f t="shared" si="2"/>
        <v>0</v>
      </c>
    </row>
    <row r="21">
      <c r="A21" s="75">
        <v>8.0</v>
      </c>
      <c r="B21" s="76" t="s">
        <v>680</v>
      </c>
      <c r="C21" s="75"/>
      <c r="D21" s="83">
        <v>0.0</v>
      </c>
      <c r="E21" s="75" t="s">
        <v>47</v>
      </c>
      <c r="F21" s="75" t="s">
        <v>681</v>
      </c>
      <c r="G21" s="75" t="s">
        <v>682</v>
      </c>
      <c r="H21" s="81">
        <f>90000/100</f>
        <v>900</v>
      </c>
      <c r="I21" s="80"/>
      <c r="J21" s="23">
        <f t="shared" si="2"/>
        <v>0</v>
      </c>
    </row>
    <row r="22">
      <c r="A22" s="75">
        <v>9.0</v>
      </c>
      <c r="B22" s="76" t="s">
        <v>684</v>
      </c>
      <c r="C22" s="75"/>
      <c r="D22" s="83">
        <v>1.0</v>
      </c>
      <c r="E22" s="75" t="s">
        <v>47</v>
      </c>
      <c r="F22" s="75" t="s">
        <v>685</v>
      </c>
      <c r="G22" s="75" t="s">
        <v>686</v>
      </c>
      <c r="H22" s="81">
        <f>90000/266</f>
        <v>338.3458647</v>
      </c>
      <c r="I22" s="80"/>
      <c r="J22" s="23">
        <f t="shared" si="2"/>
        <v>338.3458647</v>
      </c>
    </row>
    <row r="23">
      <c r="A23" s="19">
        <v>10.0</v>
      </c>
      <c r="B23" s="20"/>
      <c r="C23" s="20"/>
      <c r="D23" s="61"/>
      <c r="E23" s="20"/>
      <c r="F23" s="20"/>
      <c r="G23" s="20"/>
      <c r="H23" s="62"/>
      <c r="I23" s="24"/>
      <c r="J23" s="23">
        <f t="shared" si="2"/>
        <v>0</v>
      </c>
    </row>
    <row r="24">
      <c r="A24" s="19">
        <v>11.0</v>
      </c>
      <c r="B24" s="20"/>
      <c r="C24" s="20"/>
      <c r="D24" s="61"/>
      <c r="E24" s="20"/>
      <c r="F24" s="20"/>
      <c r="G24" s="20"/>
      <c r="H24" s="62"/>
      <c r="I24" s="24"/>
      <c r="J24" s="23">
        <f t="shared" si="2"/>
        <v>0</v>
      </c>
    </row>
    <row r="25">
      <c r="A25" s="19">
        <v>12.0</v>
      </c>
      <c r="B25" s="20"/>
      <c r="C25" s="20"/>
      <c r="D25" s="61"/>
      <c r="E25" s="20"/>
      <c r="F25" s="20"/>
      <c r="G25" s="20"/>
      <c r="H25" s="62"/>
      <c r="I25" s="24"/>
      <c r="J25" s="23">
        <f t="shared" si="2"/>
        <v>0</v>
      </c>
    </row>
    <row r="26">
      <c r="A26" s="29" t="s">
        <v>63</v>
      </c>
      <c r="J26" s="30"/>
    </row>
    <row r="27">
      <c r="A27" s="31" t="s">
        <v>10</v>
      </c>
      <c r="B27" s="31" t="s">
        <v>64</v>
      </c>
      <c r="C27" s="32"/>
      <c r="D27" s="31" t="s">
        <v>13</v>
      </c>
      <c r="E27" s="31" t="s">
        <v>14</v>
      </c>
      <c r="F27" s="31" t="s">
        <v>32</v>
      </c>
      <c r="G27" s="31" t="s">
        <v>16</v>
      </c>
      <c r="H27" s="31" t="s">
        <v>65</v>
      </c>
      <c r="I27" s="32"/>
      <c r="J27" s="31" t="s">
        <v>19</v>
      </c>
    </row>
    <row r="28">
      <c r="A28" s="19">
        <v>1.0</v>
      </c>
      <c r="B28" s="19" t="s">
        <v>357</v>
      </c>
      <c r="C28" s="33"/>
      <c r="D28" s="34">
        <v>1.0</v>
      </c>
      <c r="E28" s="19" t="s">
        <v>47</v>
      </c>
      <c r="F28" s="33"/>
      <c r="G28" s="19" t="s">
        <v>68</v>
      </c>
      <c r="H28" s="22">
        <v>4000.0</v>
      </c>
      <c r="I28" s="33"/>
      <c r="J28" s="23">
        <f t="shared" ref="J28:J30" si="3">D28*H28</f>
        <v>4000</v>
      </c>
    </row>
    <row r="29">
      <c r="A29" s="19">
        <v>2.0</v>
      </c>
      <c r="B29" s="19" t="s">
        <v>360</v>
      </c>
      <c r="C29" s="33"/>
      <c r="D29" s="34">
        <v>1.0</v>
      </c>
      <c r="E29" s="19" t="s">
        <v>47</v>
      </c>
      <c r="F29" s="33"/>
      <c r="G29" s="19" t="s">
        <v>68</v>
      </c>
      <c r="H29" s="22">
        <v>8500.0</v>
      </c>
      <c r="I29" s="33"/>
      <c r="J29" s="23">
        <f t="shared" si="3"/>
        <v>8500</v>
      </c>
    </row>
    <row r="30">
      <c r="A30" s="19">
        <v>3.0</v>
      </c>
      <c r="B30" s="19" t="s">
        <v>362</v>
      </c>
      <c r="C30" s="33"/>
      <c r="D30" s="34">
        <v>1.0</v>
      </c>
      <c r="E30" s="19" t="s">
        <v>47</v>
      </c>
      <c r="F30" s="35"/>
      <c r="G30" s="19" t="s">
        <v>68</v>
      </c>
      <c r="H30" s="22">
        <v>2000.0</v>
      </c>
      <c r="I30" s="33"/>
      <c r="J30" s="23">
        <f t="shared" si="3"/>
        <v>2000</v>
      </c>
    </row>
    <row r="31">
      <c r="A31" s="20"/>
      <c r="B31" s="20"/>
      <c r="C31" s="33"/>
      <c r="D31" s="69"/>
      <c r="E31" s="20"/>
      <c r="F31" s="35"/>
      <c r="G31" s="20"/>
      <c r="H31" s="62"/>
      <c r="I31" s="33"/>
      <c r="J31" s="35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126" t="s">
        <v>698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1348.7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1348.7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1/100</f>
        <v>0.01</v>
      </c>
      <c r="E14" s="75" t="s">
        <v>35</v>
      </c>
      <c r="F14" s="75" t="s">
        <v>703</v>
      </c>
      <c r="G14" s="75" t="s">
        <v>38</v>
      </c>
      <c r="H14" s="81">
        <v>25000.0</v>
      </c>
      <c r="I14" s="80"/>
      <c r="J14" s="39">
        <f t="shared" ref="J14:J25" si="2">D14*H14</f>
        <v>250</v>
      </c>
    </row>
    <row r="15">
      <c r="A15" s="75">
        <v>2.0</v>
      </c>
      <c r="B15" s="76" t="s">
        <v>39</v>
      </c>
      <c r="C15" s="75" t="s">
        <v>21</v>
      </c>
      <c r="D15" s="77">
        <f>4/100</f>
        <v>0.04</v>
      </c>
      <c r="E15" s="75" t="s">
        <v>40</v>
      </c>
      <c r="F15" s="75" t="s">
        <v>704</v>
      </c>
      <c r="G15" s="75" t="s">
        <v>38</v>
      </c>
      <c r="H15" s="81">
        <v>13000.0</v>
      </c>
      <c r="I15" s="80"/>
      <c r="J15" s="39">
        <f t="shared" si="2"/>
        <v>520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/>
      <c r="C20" s="75"/>
      <c r="D20" s="94"/>
      <c r="E20" s="75"/>
      <c r="F20" s="75"/>
      <c r="G20" s="75"/>
      <c r="H20" s="81"/>
      <c r="I20" s="80"/>
      <c r="J20" s="95">
        <f t="shared" si="2"/>
        <v>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66</v>
      </c>
      <c r="C28" s="86"/>
      <c r="D28" s="87">
        <v>1.0</v>
      </c>
      <c r="E28" s="75" t="s">
        <v>47</v>
      </c>
      <c r="F28" s="86"/>
      <c r="G28" s="75" t="s">
        <v>68</v>
      </c>
      <c r="H28" s="81"/>
      <c r="I28" s="88"/>
      <c r="J28" s="39">
        <f t="shared" ref="J28:J30" si="3">D28*H28</f>
        <v>0</v>
      </c>
    </row>
    <row r="29">
      <c r="A29" s="75">
        <v>2.0</v>
      </c>
      <c r="B29" s="75" t="s">
        <v>71</v>
      </c>
      <c r="C29" s="86"/>
      <c r="D29" s="87">
        <v>1.0</v>
      </c>
      <c r="E29" s="75" t="s">
        <v>47</v>
      </c>
      <c r="F29" s="86"/>
      <c r="G29" s="75" t="s">
        <v>68</v>
      </c>
      <c r="H29" s="81"/>
      <c r="I29" s="88"/>
      <c r="J29" s="39">
        <f t="shared" si="3"/>
        <v>0</v>
      </c>
    </row>
    <row r="30">
      <c r="A30" s="75">
        <v>3.0</v>
      </c>
      <c r="B30" s="75" t="s">
        <v>72</v>
      </c>
      <c r="C30" s="86"/>
      <c r="D30" s="87">
        <v>1.0</v>
      </c>
      <c r="E30" s="75" t="s">
        <v>47</v>
      </c>
      <c r="F30" s="89"/>
      <c r="G30" s="75" t="s">
        <v>68</v>
      </c>
      <c r="H30" s="81"/>
      <c r="I30" s="88"/>
      <c r="J30" s="39">
        <f t="shared" si="3"/>
        <v>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705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1640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SUM(J25:J29)</f>
        <v>23600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25240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1/50</f>
        <v>0.02</v>
      </c>
      <c r="E14" s="75" t="s">
        <v>35</v>
      </c>
      <c r="F14" s="75" t="s">
        <v>196</v>
      </c>
      <c r="G14" s="75" t="s">
        <v>38</v>
      </c>
      <c r="H14" s="81">
        <v>25000.0</v>
      </c>
      <c r="I14" s="80"/>
      <c r="J14" s="39">
        <f t="shared" ref="J14:J16" si="2">D14*H14</f>
        <v>500</v>
      </c>
    </row>
    <row r="15">
      <c r="A15" s="75">
        <v>2.0</v>
      </c>
      <c r="B15" s="76" t="s">
        <v>39</v>
      </c>
      <c r="C15" s="75" t="s">
        <v>21</v>
      </c>
      <c r="D15" s="77">
        <f>4/50</f>
        <v>0.08</v>
      </c>
      <c r="E15" s="75" t="s">
        <v>40</v>
      </c>
      <c r="F15" s="75" t="s">
        <v>197</v>
      </c>
      <c r="G15" s="75" t="s">
        <v>38</v>
      </c>
      <c r="H15" s="81">
        <v>13000.0</v>
      </c>
      <c r="I15" s="80"/>
      <c r="J15" s="39">
        <f t="shared" si="2"/>
        <v>1040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/>
      <c r="B17" s="76"/>
      <c r="C17" s="75"/>
      <c r="D17" s="77"/>
      <c r="E17" s="75"/>
      <c r="F17" s="75"/>
      <c r="G17" s="75"/>
      <c r="H17" s="81"/>
      <c r="I17" s="80"/>
      <c r="J17" s="89"/>
    </row>
    <row r="18">
      <c r="A18" s="75"/>
      <c r="B18" s="76"/>
      <c r="C18" s="75"/>
      <c r="D18" s="77"/>
      <c r="E18" s="75"/>
      <c r="F18" s="75"/>
      <c r="G18" s="75"/>
      <c r="H18" s="81"/>
      <c r="I18" s="80"/>
      <c r="J18" s="89"/>
    </row>
    <row r="19">
      <c r="A19" s="75"/>
      <c r="B19" s="76"/>
      <c r="C19" s="75"/>
      <c r="D19" s="77"/>
      <c r="E19" s="75"/>
      <c r="F19" s="75"/>
      <c r="G19" s="75"/>
      <c r="H19" s="81"/>
      <c r="I19" s="80"/>
      <c r="J19" s="89"/>
    </row>
    <row r="20">
      <c r="A20" s="75"/>
      <c r="B20" s="76"/>
      <c r="C20" s="75"/>
      <c r="D20" s="94"/>
      <c r="E20" s="75"/>
      <c r="F20" s="75"/>
      <c r="G20" s="75"/>
      <c r="H20" s="81"/>
      <c r="I20" s="80"/>
      <c r="J20" s="95"/>
    </row>
    <row r="21">
      <c r="A21" s="75"/>
      <c r="B21" s="76"/>
      <c r="C21" s="75"/>
      <c r="D21" s="83"/>
      <c r="E21" s="75"/>
      <c r="F21" s="75"/>
      <c r="G21" s="75"/>
      <c r="H21" s="81"/>
      <c r="I21" s="80"/>
      <c r="J21" s="89"/>
    </row>
    <row r="22">
      <c r="A22" s="75"/>
      <c r="B22" s="76"/>
      <c r="C22" s="75"/>
      <c r="D22" s="107"/>
      <c r="E22" s="75"/>
      <c r="F22" s="75"/>
      <c r="G22" s="75"/>
      <c r="H22" s="81"/>
      <c r="I22" s="75"/>
      <c r="J22" s="89"/>
    </row>
    <row r="23">
      <c r="A23" s="42" t="s">
        <v>63</v>
      </c>
      <c r="J23" s="42"/>
    </row>
    <row r="24">
      <c r="A24" s="43" t="s">
        <v>10</v>
      </c>
      <c r="B24" s="43" t="s">
        <v>64</v>
      </c>
      <c r="C24" s="84"/>
      <c r="D24" s="43" t="s">
        <v>13</v>
      </c>
      <c r="E24" s="43" t="s">
        <v>14</v>
      </c>
      <c r="F24" s="43" t="s">
        <v>32</v>
      </c>
      <c r="G24" s="43" t="s">
        <v>16</v>
      </c>
      <c r="H24" s="43" t="s">
        <v>65</v>
      </c>
      <c r="I24" s="85"/>
      <c r="J24" s="43" t="s">
        <v>19</v>
      </c>
    </row>
    <row r="25">
      <c r="A25" s="75">
        <v>1.0</v>
      </c>
      <c r="B25" s="75" t="s">
        <v>203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3500.0</v>
      </c>
      <c r="I25" s="88"/>
      <c r="J25" s="39">
        <f t="shared" ref="J25:J28" si="3">D25*H25</f>
        <v>3500</v>
      </c>
    </row>
    <row r="26">
      <c r="A26" s="75">
        <v>2.0</v>
      </c>
      <c r="B26" s="75" t="s">
        <v>205</v>
      </c>
      <c r="C26" s="86"/>
      <c r="D26" s="87">
        <v>1.0</v>
      </c>
      <c r="E26" s="75" t="s">
        <v>47</v>
      </c>
      <c r="F26" s="86"/>
      <c r="G26" s="75" t="s">
        <v>68</v>
      </c>
      <c r="H26" s="81">
        <v>15000.0</v>
      </c>
      <c r="I26" s="88"/>
      <c r="J26" s="39">
        <f t="shared" si="3"/>
        <v>15000</v>
      </c>
    </row>
    <row r="27">
      <c r="A27" s="75">
        <v>3.0</v>
      </c>
      <c r="B27" s="75" t="s">
        <v>206</v>
      </c>
      <c r="C27" s="86"/>
      <c r="D27" s="87">
        <v>1.0</v>
      </c>
      <c r="E27" s="75" t="s">
        <v>47</v>
      </c>
      <c r="F27" s="89"/>
      <c r="G27" s="75" t="s">
        <v>68</v>
      </c>
      <c r="H27" s="81">
        <v>3000.0</v>
      </c>
      <c r="I27" s="88"/>
      <c r="J27" s="39">
        <f t="shared" si="3"/>
        <v>3000</v>
      </c>
    </row>
    <row r="28">
      <c r="A28" s="75">
        <v>4.0</v>
      </c>
      <c r="B28" s="75" t="s">
        <v>141</v>
      </c>
      <c r="C28" s="86"/>
      <c r="D28" s="87">
        <v>7.0</v>
      </c>
      <c r="E28" s="75" t="s">
        <v>47</v>
      </c>
      <c r="F28" s="89"/>
      <c r="G28" s="75" t="s">
        <v>68</v>
      </c>
      <c r="H28" s="81">
        <v>300.0</v>
      </c>
      <c r="I28" s="88"/>
      <c r="J28" s="39">
        <f t="shared" si="3"/>
        <v>2100</v>
      </c>
    </row>
    <row r="29">
      <c r="A29" s="75"/>
      <c r="B29" s="75"/>
      <c r="C29" s="86"/>
      <c r="D29" s="87"/>
      <c r="E29" s="75"/>
      <c r="F29" s="86"/>
      <c r="G29" s="75"/>
      <c r="H29" s="81"/>
      <c r="I29" s="88"/>
      <c r="J29" s="89"/>
    </row>
    <row r="30">
      <c r="A30" s="75"/>
      <c r="B30" s="75"/>
      <c r="C30" s="86"/>
      <c r="D30" s="87"/>
      <c r="E30" s="75"/>
      <c r="F30" s="89"/>
      <c r="G30" s="75"/>
      <c r="H30" s="81"/>
      <c r="I30" s="88"/>
      <c r="J30" s="89"/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705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3382.3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SUM(J25:J29)</f>
        <v>23600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26982.3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1/50</f>
        <v>0.02</v>
      </c>
      <c r="E14" s="75" t="s">
        <v>35</v>
      </c>
      <c r="F14" s="75" t="s">
        <v>196</v>
      </c>
      <c r="G14" s="75" t="s">
        <v>38</v>
      </c>
      <c r="H14" s="81">
        <v>25000.0</v>
      </c>
      <c r="I14" s="80"/>
      <c r="J14" s="39">
        <f t="shared" ref="J14:J22" si="2">D14*H14</f>
        <v>500</v>
      </c>
    </row>
    <row r="15">
      <c r="A15" s="75">
        <v>2.0</v>
      </c>
      <c r="B15" s="76" t="s">
        <v>39</v>
      </c>
      <c r="C15" s="75" t="s">
        <v>21</v>
      </c>
      <c r="D15" s="77">
        <f>4/50</f>
        <v>0.08</v>
      </c>
      <c r="E15" s="75" t="s">
        <v>40</v>
      </c>
      <c r="F15" s="75" t="s">
        <v>197</v>
      </c>
      <c r="G15" s="75" t="s">
        <v>38</v>
      </c>
      <c r="H15" s="81">
        <v>13000.0</v>
      </c>
      <c r="I15" s="80"/>
      <c r="J15" s="39">
        <f t="shared" si="2"/>
        <v>1040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1.5/5</f>
        <v>0.3</v>
      </c>
      <c r="E20" s="75" t="s">
        <v>148</v>
      </c>
      <c r="F20" s="75" t="s">
        <v>199</v>
      </c>
      <c r="G20" s="75" t="s">
        <v>38</v>
      </c>
      <c r="H20" s="81">
        <v>4212.0</v>
      </c>
      <c r="I20" s="80"/>
      <c r="J20" s="95">
        <f t="shared" si="2"/>
        <v>1263.6</v>
      </c>
    </row>
    <row r="21">
      <c r="A21" s="75">
        <v>8.0</v>
      </c>
      <c r="B21" s="76" t="s">
        <v>161</v>
      </c>
      <c r="C21" s="75" t="s">
        <v>162</v>
      </c>
      <c r="D21" s="83">
        <v>0.0</v>
      </c>
      <c r="E21" s="75" t="s">
        <v>47</v>
      </c>
      <c r="F21" s="75"/>
      <c r="G21" s="75" t="s">
        <v>163</v>
      </c>
      <c r="H21" s="81">
        <v>10000.0</v>
      </c>
      <c r="I21" s="80"/>
      <c r="J21" s="39">
        <f t="shared" si="2"/>
        <v>0</v>
      </c>
    </row>
    <row r="22">
      <c r="A22" s="75">
        <v>9.0</v>
      </c>
      <c r="B22" s="76" t="s">
        <v>200</v>
      </c>
      <c r="C22" s="75" t="s">
        <v>201</v>
      </c>
      <c r="D22" s="107">
        <f>(1/144)*7</f>
        <v>0.04861111111</v>
      </c>
      <c r="E22" s="75" t="s">
        <v>47</v>
      </c>
      <c r="F22" s="75" t="s">
        <v>202</v>
      </c>
      <c r="G22" s="75">
        <v>1001.0</v>
      </c>
      <c r="H22" s="81">
        <v>6000.0</v>
      </c>
      <c r="I22" s="75">
        <v>6000.0</v>
      </c>
      <c r="J22" s="39">
        <f t="shared" si="2"/>
        <v>291.6666667</v>
      </c>
    </row>
    <row r="23">
      <c r="A23" s="42" t="s">
        <v>63</v>
      </c>
      <c r="J23" s="42"/>
    </row>
    <row r="24">
      <c r="A24" s="43" t="s">
        <v>10</v>
      </c>
      <c r="B24" s="43" t="s">
        <v>64</v>
      </c>
      <c r="C24" s="84"/>
      <c r="D24" s="43" t="s">
        <v>13</v>
      </c>
      <c r="E24" s="43" t="s">
        <v>14</v>
      </c>
      <c r="F24" s="43" t="s">
        <v>32</v>
      </c>
      <c r="G24" s="43" t="s">
        <v>16</v>
      </c>
      <c r="H24" s="43" t="s">
        <v>65</v>
      </c>
      <c r="I24" s="85"/>
      <c r="J24" s="43" t="s">
        <v>19</v>
      </c>
    </row>
    <row r="25">
      <c r="A25" s="75">
        <v>1.0</v>
      </c>
      <c r="B25" s="75" t="s">
        <v>203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3500.0</v>
      </c>
      <c r="I25" s="88"/>
      <c r="J25" s="39">
        <f t="shared" ref="J25:J28" si="3">D25*H25</f>
        <v>3500</v>
      </c>
    </row>
    <row r="26">
      <c r="A26" s="75">
        <v>2.0</v>
      </c>
      <c r="B26" s="75" t="s">
        <v>205</v>
      </c>
      <c r="C26" s="86"/>
      <c r="D26" s="87">
        <v>1.0</v>
      </c>
      <c r="E26" s="75" t="s">
        <v>47</v>
      </c>
      <c r="F26" s="86"/>
      <c r="G26" s="75" t="s">
        <v>68</v>
      </c>
      <c r="H26" s="81">
        <v>15000.0</v>
      </c>
      <c r="I26" s="88"/>
      <c r="J26" s="39">
        <f t="shared" si="3"/>
        <v>15000</v>
      </c>
    </row>
    <row r="27">
      <c r="A27" s="75">
        <v>3.0</v>
      </c>
      <c r="B27" s="75" t="s">
        <v>206</v>
      </c>
      <c r="C27" s="86"/>
      <c r="D27" s="87">
        <v>1.0</v>
      </c>
      <c r="E27" s="75" t="s">
        <v>47</v>
      </c>
      <c r="F27" s="89"/>
      <c r="G27" s="75" t="s">
        <v>68</v>
      </c>
      <c r="H27" s="81">
        <v>3000.0</v>
      </c>
      <c r="I27" s="88"/>
      <c r="J27" s="39">
        <f t="shared" si="3"/>
        <v>3000</v>
      </c>
    </row>
    <row r="28">
      <c r="A28" s="75">
        <v>4.0</v>
      </c>
      <c r="B28" s="75" t="s">
        <v>141</v>
      </c>
      <c r="C28" s="86"/>
      <c r="D28" s="87">
        <v>7.0</v>
      </c>
      <c r="E28" s="75" t="s">
        <v>47</v>
      </c>
      <c r="F28" s="89"/>
      <c r="G28" s="75" t="s">
        <v>68</v>
      </c>
      <c r="H28" s="81">
        <v>300.0</v>
      </c>
      <c r="I28" s="88"/>
      <c r="J28" s="39">
        <f t="shared" si="3"/>
        <v>2100</v>
      </c>
    </row>
    <row r="29">
      <c r="A29" s="75"/>
      <c r="B29" s="75"/>
      <c r="C29" s="86"/>
      <c r="D29" s="87"/>
      <c r="E29" s="75"/>
      <c r="F29" s="86"/>
      <c r="G29" s="75"/>
      <c r="H29" s="81"/>
      <c r="I29" s="88"/>
      <c r="J29" s="89"/>
    </row>
    <row r="30">
      <c r="A30" s="75"/>
      <c r="B30" s="75"/>
      <c r="C30" s="86"/>
      <c r="D30" s="87"/>
      <c r="E30" s="75"/>
      <c r="F30" s="89"/>
      <c r="G30" s="75"/>
      <c r="H30" s="81"/>
      <c r="I30" s="88"/>
      <c r="J30" s="89"/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705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1640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SUM(J25:J29)</f>
        <v>30600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32240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1/50</f>
        <v>0.02</v>
      </c>
      <c r="E14" s="75" t="s">
        <v>35</v>
      </c>
      <c r="F14" s="75" t="s">
        <v>196</v>
      </c>
      <c r="G14" s="75" t="s">
        <v>38</v>
      </c>
      <c r="H14" s="81">
        <v>25000.0</v>
      </c>
      <c r="I14" s="80"/>
      <c r="J14" s="39">
        <f t="shared" ref="J14:J16" si="2">D14*H14</f>
        <v>500</v>
      </c>
    </row>
    <row r="15">
      <c r="A15" s="75">
        <v>2.0</v>
      </c>
      <c r="B15" s="76" t="s">
        <v>39</v>
      </c>
      <c r="C15" s="75" t="s">
        <v>21</v>
      </c>
      <c r="D15" s="77">
        <f>4/50</f>
        <v>0.08</v>
      </c>
      <c r="E15" s="75" t="s">
        <v>40</v>
      </c>
      <c r="F15" s="75" t="s">
        <v>197</v>
      </c>
      <c r="G15" s="75" t="s">
        <v>38</v>
      </c>
      <c r="H15" s="81">
        <v>13000.0</v>
      </c>
      <c r="I15" s="80"/>
      <c r="J15" s="39">
        <f t="shared" si="2"/>
        <v>1040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/>
      <c r="B17" s="76"/>
      <c r="C17" s="75"/>
      <c r="D17" s="77"/>
      <c r="E17" s="75"/>
      <c r="F17" s="75"/>
      <c r="G17" s="75"/>
      <c r="H17" s="81"/>
      <c r="I17" s="80"/>
      <c r="J17" s="89"/>
    </row>
    <row r="18">
      <c r="A18" s="75"/>
      <c r="B18" s="76"/>
      <c r="C18" s="75"/>
      <c r="D18" s="77"/>
      <c r="E18" s="75"/>
      <c r="F18" s="75"/>
      <c r="G18" s="75"/>
      <c r="H18" s="81"/>
      <c r="I18" s="80"/>
      <c r="J18" s="89"/>
    </row>
    <row r="19">
      <c r="A19" s="75"/>
      <c r="B19" s="76"/>
      <c r="C19" s="75"/>
      <c r="D19" s="77"/>
      <c r="E19" s="75"/>
      <c r="F19" s="75"/>
      <c r="G19" s="75"/>
      <c r="H19" s="81"/>
      <c r="I19" s="80"/>
      <c r="J19" s="89"/>
    </row>
    <row r="20">
      <c r="A20" s="75"/>
      <c r="B20" s="76"/>
      <c r="C20" s="75"/>
      <c r="D20" s="94"/>
      <c r="E20" s="75"/>
      <c r="F20" s="75"/>
      <c r="G20" s="75"/>
      <c r="H20" s="81"/>
      <c r="I20" s="80"/>
      <c r="J20" s="95"/>
    </row>
    <row r="21">
      <c r="A21" s="75"/>
      <c r="B21" s="76"/>
      <c r="C21" s="75"/>
      <c r="D21" s="83"/>
      <c r="E21" s="75"/>
      <c r="F21" s="75"/>
      <c r="G21" s="75"/>
      <c r="H21" s="81"/>
      <c r="I21" s="80"/>
      <c r="J21" s="89"/>
    </row>
    <row r="22">
      <c r="A22" s="75"/>
      <c r="B22" s="76"/>
      <c r="C22" s="75"/>
      <c r="D22" s="107"/>
      <c r="E22" s="75"/>
      <c r="F22" s="75"/>
      <c r="G22" s="75"/>
      <c r="H22" s="81"/>
      <c r="I22" s="75"/>
      <c r="J22" s="89"/>
    </row>
    <row r="23">
      <c r="A23" s="42" t="s">
        <v>63</v>
      </c>
      <c r="J23" s="42"/>
    </row>
    <row r="24">
      <c r="A24" s="43" t="s">
        <v>10</v>
      </c>
      <c r="B24" s="43" t="s">
        <v>64</v>
      </c>
      <c r="C24" s="84"/>
      <c r="D24" s="43" t="s">
        <v>13</v>
      </c>
      <c r="E24" s="43" t="s">
        <v>14</v>
      </c>
      <c r="F24" s="43" t="s">
        <v>32</v>
      </c>
      <c r="G24" s="43" t="s">
        <v>16</v>
      </c>
      <c r="H24" s="43" t="s">
        <v>65</v>
      </c>
      <c r="I24" s="85"/>
      <c r="J24" s="43" t="s">
        <v>19</v>
      </c>
    </row>
    <row r="25">
      <c r="A25" s="75">
        <v>1.0</v>
      </c>
      <c r="B25" s="75" t="s">
        <v>203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3500.0</v>
      </c>
      <c r="I25" s="88"/>
      <c r="J25" s="39">
        <f t="shared" ref="J25:J28" si="3">D25*H25</f>
        <v>3500</v>
      </c>
    </row>
    <row r="26">
      <c r="A26" s="75">
        <v>2.0</v>
      </c>
      <c r="B26" s="75" t="s">
        <v>205</v>
      </c>
      <c r="C26" s="86"/>
      <c r="D26" s="87">
        <v>1.0</v>
      </c>
      <c r="E26" s="75" t="s">
        <v>47</v>
      </c>
      <c r="F26" s="86"/>
      <c r="G26" s="75" t="s">
        <v>68</v>
      </c>
      <c r="H26" s="81">
        <v>22000.0</v>
      </c>
      <c r="I26" s="88"/>
      <c r="J26" s="39">
        <f t="shared" si="3"/>
        <v>22000</v>
      </c>
    </row>
    <row r="27">
      <c r="A27" s="75">
        <v>3.0</v>
      </c>
      <c r="B27" s="75" t="s">
        <v>206</v>
      </c>
      <c r="C27" s="86"/>
      <c r="D27" s="87">
        <v>1.0</v>
      </c>
      <c r="E27" s="75" t="s">
        <v>47</v>
      </c>
      <c r="F27" s="89"/>
      <c r="G27" s="75" t="s">
        <v>68</v>
      </c>
      <c r="H27" s="81">
        <v>3000.0</v>
      </c>
      <c r="I27" s="88"/>
      <c r="J27" s="39">
        <f t="shared" si="3"/>
        <v>3000</v>
      </c>
    </row>
    <row r="28">
      <c r="A28" s="75">
        <v>4.0</v>
      </c>
      <c r="B28" s="75" t="s">
        <v>141</v>
      </c>
      <c r="C28" s="86"/>
      <c r="D28" s="87">
        <v>7.0</v>
      </c>
      <c r="E28" s="75" t="s">
        <v>47</v>
      </c>
      <c r="F28" s="89"/>
      <c r="G28" s="75" t="s">
        <v>68</v>
      </c>
      <c r="H28" s="81">
        <v>300.0</v>
      </c>
      <c r="I28" s="88"/>
      <c r="J28" s="39">
        <f t="shared" si="3"/>
        <v>2100</v>
      </c>
    </row>
    <row r="29">
      <c r="A29" s="75"/>
      <c r="B29" s="75"/>
      <c r="C29" s="86"/>
      <c r="D29" s="87"/>
      <c r="E29" s="75"/>
      <c r="F29" s="86"/>
      <c r="G29" s="75"/>
      <c r="H29" s="81"/>
      <c r="I29" s="88"/>
      <c r="J29" s="89"/>
    </row>
    <row r="30">
      <c r="A30" s="75"/>
      <c r="B30" s="75"/>
      <c r="C30" s="86"/>
      <c r="D30" s="87"/>
      <c r="E30" s="75"/>
      <c r="F30" s="89"/>
      <c r="G30" s="75"/>
      <c r="H30" s="81"/>
      <c r="I30" s="88"/>
      <c r="J30" s="89"/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705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SUM(J14:J22)</f>
        <v>3673.966667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SUM(J25:J29)</f>
        <v>30600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34273.96667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1/50</f>
        <v>0.02</v>
      </c>
      <c r="E14" s="75" t="s">
        <v>35</v>
      </c>
      <c r="F14" s="75" t="s">
        <v>196</v>
      </c>
      <c r="G14" s="75" t="s">
        <v>38</v>
      </c>
      <c r="H14" s="81">
        <v>25000.0</v>
      </c>
      <c r="I14" s="80"/>
      <c r="J14" s="39">
        <f t="shared" ref="J14:J22" si="2">D14*H14</f>
        <v>500</v>
      </c>
    </row>
    <row r="15">
      <c r="A15" s="75">
        <v>2.0</v>
      </c>
      <c r="B15" s="76" t="s">
        <v>39</v>
      </c>
      <c r="C15" s="75" t="s">
        <v>21</v>
      </c>
      <c r="D15" s="77">
        <f>4/50</f>
        <v>0.08</v>
      </c>
      <c r="E15" s="75" t="s">
        <v>40</v>
      </c>
      <c r="F15" s="75" t="s">
        <v>197</v>
      </c>
      <c r="G15" s="75" t="s">
        <v>38</v>
      </c>
      <c r="H15" s="81">
        <v>13000.0</v>
      </c>
      <c r="I15" s="80"/>
      <c r="J15" s="39">
        <f t="shared" si="2"/>
        <v>1040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1.5/5</f>
        <v>0.3</v>
      </c>
      <c r="E20" s="75" t="s">
        <v>148</v>
      </c>
      <c r="F20" s="75" t="s">
        <v>199</v>
      </c>
      <c r="G20" s="75" t="s">
        <v>38</v>
      </c>
      <c r="H20" s="81">
        <v>4212.0</v>
      </c>
      <c r="I20" s="80"/>
      <c r="J20" s="95">
        <f t="shared" si="2"/>
        <v>1263.6</v>
      </c>
    </row>
    <row r="21">
      <c r="A21" s="75">
        <v>8.0</v>
      </c>
      <c r="B21" s="76" t="s">
        <v>161</v>
      </c>
      <c r="C21" s="75" t="s">
        <v>162</v>
      </c>
      <c r="D21" s="83">
        <v>0.0</v>
      </c>
      <c r="E21" s="75" t="s">
        <v>47</v>
      </c>
      <c r="F21" s="75"/>
      <c r="G21" s="75" t="s">
        <v>163</v>
      </c>
      <c r="H21" s="81">
        <v>10000.0</v>
      </c>
      <c r="I21" s="80"/>
      <c r="J21" s="39">
        <f t="shared" si="2"/>
        <v>0</v>
      </c>
    </row>
    <row r="22">
      <c r="A22" s="75">
        <v>9.0</v>
      </c>
      <c r="B22" s="76" t="s">
        <v>200</v>
      </c>
      <c r="C22" s="75" t="s">
        <v>201</v>
      </c>
      <c r="D22" s="107">
        <f>(1/144)*7</f>
        <v>0.04861111111</v>
      </c>
      <c r="E22" s="75" t="s">
        <v>47</v>
      </c>
      <c r="F22" s="75" t="s">
        <v>202</v>
      </c>
      <c r="G22" s="75">
        <v>1001.0</v>
      </c>
      <c r="H22" s="81">
        <v>6000.0</v>
      </c>
      <c r="I22" s="75">
        <v>6000.0</v>
      </c>
      <c r="J22" s="39">
        <f t="shared" si="2"/>
        <v>291.6666667</v>
      </c>
    </row>
    <row r="23">
      <c r="A23" s="42" t="s">
        <v>63</v>
      </c>
      <c r="J23" s="42"/>
    </row>
    <row r="24">
      <c r="A24" s="43" t="s">
        <v>10</v>
      </c>
      <c r="B24" s="43" t="s">
        <v>64</v>
      </c>
      <c r="C24" s="84"/>
      <c r="D24" s="43" t="s">
        <v>13</v>
      </c>
      <c r="E24" s="43" t="s">
        <v>14</v>
      </c>
      <c r="F24" s="43" t="s">
        <v>32</v>
      </c>
      <c r="G24" s="43" t="s">
        <v>16</v>
      </c>
      <c r="H24" s="43" t="s">
        <v>65</v>
      </c>
      <c r="I24" s="85"/>
      <c r="J24" s="43" t="s">
        <v>19</v>
      </c>
    </row>
    <row r="25">
      <c r="A25" s="75">
        <v>1.0</v>
      </c>
      <c r="B25" s="75" t="s">
        <v>203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3500.0</v>
      </c>
      <c r="I25" s="88"/>
      <c r="J25" s="39">
        <f t="shared" ref="J25:J28" si="3">D25*H25</f>
        <v>3500</v>
      </c>
    </row>
    <row r="26">
      <c r="A26" s="75">
        <v>2.0</v>
      </c>
      <c r="B26" s="75" t="s">
        <v>205</v>
      </c>
      <c r="C26" s="86"/>
      <c r="D26" s="87">
        <v>1.0</v>
      </c>
      <c r="E26" s="75" t="s">
        <v>47</v>
      </c>
      <c r="F26" s="86"/>
      <c r="G26" s="75" t="s">
        <v>68</v>
      </c>
      <c r="H26" s="81">
        <v>22000.0</v>
      </c>
      <c r="I26" s="88"/>
      <c r="J26" s="39">
        <f t="shared" si="3"/>
        <v>22000</v>
      </c>
    </row>
    <row r="27">
      <c r="A27" s="75">
        <v>3.0</v>
      </c>
      <c r="B27" s="75" t="s">
        <v>206</v>
      </c>
      <c r="C27" s="86"/>
      <c r="D27" s="87">
        <v>1.0</v>
      </c>
      <c r="E27" s="75" t="s">
        <v>47</v>
      </c>
      <c r="F27" s="89"/>
      <c r="G27" s="75" t="s">
        <v>68</v>
      </c>
      <c r="H27" s="81">
        <v>3000.0</v>
      </c>
      <c r="I27" s="88"/>
      <c r="J27" s="39">
        <f t="shared" si="3"/>
        <v>3000</v>
      </c>
    </row>
    <row r="28">
      <c r="A28" s="75">
        <v>4.0</v>
      </c>
      <c r="B28" s="75" t="s">
        <v>141</v>
      </c>
      <c r="C28" s="86"/>
      <c r="D28" s="87">
        <v>7.0</v>
      </c>
      <c r="E28" s="75" t="s">
        <v>47</v>
      </c>
      <c r="F28" s="89"/>
      <c r="G28" s="75" t="s">
        <v>68</v>
      </c>
      <c r="H28" s="81">
        <v>300.0</v>
      </c>
      <c r="I28" s="88"/>
      <c r="J28" s="39">
        <f t="shared" si="3"/>
        <v>2100</v>
      </c>
    </row>
    <row r="29">
      <c r="A29" s="75"/>
      <c r="B29" s="75"/>
      <c r="C29" s="86"/>
      <c r="D29" s="87"/>
      <c r="E29" s="75"/>
      <c r="F29" s="86"/>
      <c r="G29" s="75"/>
      <c r="H29" s="81"/>
      <c r="I29" s="88"/>
      <c r="J29" s="89"/>
    </row>
    <row r="30">
      <c r="A30" s="75"/>
      <c r="B30" s="75"/>
      <c r="C30" s="86"/>
      <c r="D30" s="87"/>
      <c r="E30" s="75"/>
      <c r="F30" s="89"/>
      <c r="G30" s="75"/>
      <c r="H30" s="81"/>
      <c r="I30" s="88"/>
      <c r="J30" s="89"/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706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1640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3600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5240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1/50</f>
        <v>0.02</v>
      </c>
      <c r="E14" s="75" t="s">
        <v>35</v>
      </c>
      <c r="F14" s="75" t="s">
        <v>196</v>
      </c>
      <c r="G14" s="75" t="s">
        <v>38</v>
      </c>
      <c r="H14" s="81">
        <v>25000.0</v>
      </c>
      <c r="I14" s="80"/>
      <c r="J14" s="39">
        <f t="shared" ref="J14:J16" si="2">D14*H14</f>
        <v>500</v>
      </c>
    </row>
    <row r="15">
      <c r="A15" s="75">
        <v>2.0</v>
      </c>
      <c r="B15" s="76" t="s">
        <v>39</v>
      </c>
      <c r="C15" s="75" t="s">
        <v>21</v>
      </c>
      <c r="D15" s="77">
        <f>4/50</f>
        <v>0.08</v>
      </c>
      <c r="E15" s="75" t="s">
        <v>40</v>
      </c>
      <c r="F15" s="75" t="s">
        <v>197</v>
      </c>
      <c r="G15" s="75" t="s">
        <v>38</v>
      </c>
      <c r="H15" s="81">
        <v>13000.0</v>
      </c>
      <c r="I15" s="80"/>
      <c r="J15" s="39">
        <f t="shared" si="2"/>
        <v>1040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/>
      <c r="B17" s="76"/>
      <c r="C17" s="75"/>
      <c r="D17" s="77"/>
      <c r="E17" s="75"/>
      <c r="F17" s="75"/>
      <c r="G17" s="75"/>
      <c r="H17" s="81"/>
      <c r="I17" s="80"/>
      <c r="J17" s="89"/>
    </row>
    <row r="18">
      <c r="A18" s="75"/>
      <c r="B18" s="76"/>
      <c r="C18" s="75"/>
      <c r="D18" s="77"/>
      <c r="E18" s="75"/>
      <c r="F18" s="75"/>
      <c r="G18" s="75"/>
      <c r="H18" s="81"/>
      <c r="I18" s="80"/>
      <c r="J18" s="89"/>
    </row>
    <row r="19">
      <c r="A19" s="75"/>
      <c r="B19" s="76"/>
      <c r="C19" s="75"/>
      <c r="D19" s="77"/>
      <c r="E19" s="75"/>
      <c r="F19" s="75"/>
      <c r="G19" s="75"/>
      <c r="H19" s="81"/>
      <c r="I19" s="80"/>
      <c r="J19" s="89"/>
    </row>
    <row r="20">
      <c r="A20" s="75"/>
      <c r="B20" s="76"/>
      <c r="C20" s="75"/>
      <c r="D20" s="94"/>
      <c r="E20" s="75"/>
      <c r="F20" s="75"/>
      <c r="G20" s="75"/>
      <c r="H20" s="81"/>
      <c r="I20" s="80"/>
      <c r="J20" s="95"/>
    </row>
    <row r="21">
      <c r="A21" s="75"/>
      <c r="B21" s="76"/>
      <c r="C21" s="75"/>
      <c r="D21" s="83"/>
      <c r="E21" s="75"/>
      <c r="F21" s="75"/>
      <c r="G21" s="75"/>
      <c r="H21" s="81"/>
      <c r="I21" s="80"/>
      <c r="J21" s="89"/>
    </row>
    <row r="22">
      <c r="A22" s="75"/>
      <c r="B22" s="76"/>
      <c r="C22" s="75"/>
      <c r="D22" s="107"/>
      <c r="E22" s="75"/>
      <c r="F22" s="75"/>
      <c r="G22" s="75"/>
      <c r="H22" s="81"/>
      <c r="I22" s="75"/>
      <c r="J22" s="89"/>
    </row>
    <row r="23">
      <c r="A23" s="42" t="s">
        <v>63</v>
      </c>
      <c r="J23" s="42"/>
    </row>
    <row r="24">
      <c r="A24" s="43" t="s">
        <v>10</v>
      </c>
      <c r="B24" s="43" t="s">
        <v>64</v>
      </c>
      <c r="C24" s="84"/>
      <c r="D24" s="43" t="s">
        <v>13</v>
      </c>
      <c r="E24" s="43" t="s">
        <v>14</v>
      </c>
      <c r="F24" s="43" t="s">
        <v>32</v>
      </c>
      <c r="G24" s="43" t="s">
        <v>16</v>
      </c>
      <c r="H24" s="43" t="s">
        <v>65</v>
      </c>
      <c r="I24" s="85"/>
      <c r="J24" s="43" t="s">
        <v>19</v>
      </c>
    </row>
    <row r="25">
      <c r="A25" s="75">
        <v>1.0</v>
      </c>
      <c r="B25" s="75" t="s">
        <v>203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3500.0</v>
      </c>
      <c r="I25" s="88"/>
      <c r="J25" s="39">
        <f t="shared" ref="J25:J28" si="3">D25*H25</f>
        <v>3500</v>
      </c>
    </row>
    <row r="26">
      <c r="A26" s="75">
        <v>2.0</v>
      </c>
      <c r="B26" s="75" t="s">
        <v>205</v>
      </c>
      <c r="C26" s="86"/>
      <c r="D26" s="87">
        <v>1.0</v>
      </c>
      <c r="E26" s="75" t="s">
        <v>47</v>
      </c>
      <c r="F26" s="86"/>
      <c r="G26" s="75" t="s">
        <v>68</v>
      </c>
      <c r="H26" s="81">
        <v>20000.0</v>
      </c>
      <c r="I26" s="88"/>
      <c r="J26" s="39">
        <f t="shared" si="3"/>
        <v>20000</v>
      </c>
    </row>
    <row r="27">
      <c r="A27" s="75">
        <v>3.0</v>
      </c>
      <c r="B27" s="75" t="s">
        <v>206</v>
      </c>
      <c r="C27" s="86"/>
      <c r="D27" s="87">
        <v>1.0</v>
      </c>
      <c r="E27" s="75" t="s">
        <v>47</v>
      </c>
      <c r="F27" s="89"/>
      <c r="G27" s="75" t="s">
        <v>68</v>
      </c>
      <c r="H27" s="81">
        <v>3000.0</v>
      </c>
      <c r="I27" s="88"/>
      <c r="J27" s="39">
        <f t="shared" si="3"/>
        <v>3000</v>
      </c>
    </row>
    <row r="28">
      <c r="A28" s="75">
        <v>4.0</v>
      </c>
      <c r="B28" s="75" t="s">
        <v>141</v>
      </c>
      <c r="C28" s="86"/>
      <c r="D28" s="87">
        <v>12.0</v>
      </c>
      <c r="E28" s="75" t="s">
        <v>47</v>
      </c>
      <c r="F28" s="89"/>
      <c r="G28" s="75" t="s">
        <v>68</v>
      </c>
      <c r="H28" s="81">
        <v>300.0</v>
      </c>
      <c r="I28" s="88"/>
      <c r="J28" s="39">
        <f t="shared" si="3"/>
        <v>3600</v>
      </c>
    </row>
    <row r="29">
      <c r="A29" s="75"/>
      <c r="B29" s="75"/>
      <c r="C29" s="86"/>
      <c r="D29" s="87"/>
      <c r="E29" s="75"/>
      <c r="F29" s="86"/>
      <c r="G29" s="75"/>
      <c r="H29" s="81"/>
      <c r="I29" s="88"/>
      <c r="J29" s="89"/>
    </row>
    <row r="30">
      <c r="A30" s="75"/>
      <c r="B30" s="75"/>
      <c r="C30" s="86"/>
      <c r="D30" s="87"/>
      <c r="E30" s="75"/>
      <c r="F30" s="89"/>
      <c r="G30" s="75"/>
      <c r="H30" s="81"/>
      <c r="I30" s="88"/>
      <c r="J30" s="89"/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707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3382.3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3600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6982.3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1/50</f>
        <v>0.02</v>
      </c>
      <c r="E14" s="75" t="s">
        <v>35</v>
      </c>
      <c r="F14" s="75" t="s">
        <v>196</v>
      </c>
      <c r="G14" s="75" t="s">
        <v>38</v>
      </c>
      <c r="H14" s="81">
        <v>25000.0</v>
      </c>
      <c r="I14" s="80"/>
      <c r="J14" s="39">
        <f t="shared" ref="J14:J22" si="2">D14*H14</f>
        <v>500</v>
      </c>
    </row>
    <row r="15">
      <c r="A15" s="75">
        <v>2.0</v>
      </c>
      <c r="B15" s="76" t="s">
        <v>39</v>
      </c>
      <c r="C15" s="75" t="s">
        <v>21</v>
      </c>
      <c r="D15" s="77">
        <f>4/50</f>
        <v>0.08</v>
      </c>
      <c r="E15" s="75" t="s">
        <v>40</v>
      </c>
      <c r="F15" s="75" t="s">
        <v>197</v>
      </c>
      <c r="G15" s="75" t="s">
        <v>38</v>
      </c>
      <c r="H15" s="81">
        <v>13000.0</v>
      </c>
      <c r="I15" s="80"/>
      <c r="J15" s="39">
        <f t="shared" si="2"/>
        <v>1040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147</v>
      </c>
      <c r="C20" s="75" t="s">
        <v>54</v>
      </c>
      <c r="D20" s="94">
        <f>1.5/5</f>
        <v>0.3</v>
      </c>
      <c r="E20" s="75" t="s">
        <v>148</v>
      </c>
      <c r="F20" s="75" t="s">
        <v>199</v>
      </c>
      <c r="G20" s="75" t="s">
        <v>38</v>
      </c>
      <c r="H20" s="81">
        <v>4212.0</v>
      </c>
      <c r="I20" s="80"/>
      <c r="J20" s="95">
        <f t="shared" si="2"/>
        <v>1263.6</v>
      </c>
    </row>
    <row r="21">
      <c r="A21" s="75">
        <v>8.0</v>
      </c>
      <c r="B21" s="76" t="s">
        <v>161</v>
      </c>
      <c r="C21" s="75" t="s">
        <v>162</v>
      </c>
      <c r="D21" s="83">
        <v>0.0</v>
      </c>
      <c r="E21" s="75" t="s">
        <v>47</v>
      </c>
      <c r="F21" s="75"/>
      <c r="G21" s="75" t="s">
        <v>163</v>
      </c>
      <c r="H21" s="81">
        <v>10000.0</v>
      </c>
      <c r="I21" s="80"/>
      <c r="J21" s="39">
        <f t="shared" si="2"/>
        <v>0</v>
      </c>
    </row>
    <row r="22">
      <c r="A22" s="75">
        <v>9.0</v>
      </c>
      <c r="B22" s="76" t="s">
        <v>200</v>
      </c>
      <c r="C22" s="75" t="s">
        <v>201</v>
      </c>
      <c r="D22" s="107">
        <f>(1/144)*7</f>
        <v>0.04861111111</v>
      </c>
      <c r="E22" s="75" t="s">
        <v>47</v>
      </c>
      <c r="F22" s="75" t="s">
        <v>202</v>
      </c>
      <c r="G22" s="75">
        <v>1001.0</v>
      </c>
      <c r="H22" s="81">
        <v>6000.0</v>
      </c>
      <c r="I22" s="75">
        <v>6000.0</v>
      </c>
      <c r="J22" s="39">
        <f t="shared" si="2"/>
        <v>291.6666667</v>
      </c>
    </row>
    <row r="23">
      <c r="A23" s="42" t="s">
        <v>63</v>
      </c>
      <c r="J23" s="42"/>
    </row>
    <row r="24">
      <c r="A24" s="43" t="s">
        <v>10</v>
      </c>
      <c r="B24" s="43" t="s">
        <v>64</v>
      </c>
      <c r="C24" s="84"/>
      <c r="D24" s="43" t="s">
        <v>13</v>
      </c>
      <c r="E24" s="43" t="s">
        <v>14</v>
      </c>
      <c r="F24" s="43" t="s">
        <v>32</v>
      </c>
      <c r="G24" s="43" t="s">
        <v>16</v>
      </c>
      <c r="H24" s="43" t="s">
        <v>65</v>
      </c>
      <c r="I24" s="85"/>
      <c r="J24" s="43" t="s">
        <v>19</v>
      </c>
    </row>
    <row r="25">
      <c r="A25" s="75">
        <v>1.0</v>
      </c>
      <c r="B25" s="75" t="s">
        <v>203</v>
      </c>
      <c r="C25" s="86"/>
      <c r="D25" s="87">
        <v>1.0</v>
      </c>
      <c r="E25" s="75" t="s">
        <v>47</v>
      </c>
      <c r="F25" s="86"/>
      <c r="G25" s="75" t="s">
        <v>68</v>
      </c>
      <c r="H25" s="81">
        <v>3500.0</v>
      </c>
      <c r="I25" s="88"/>
      <c r="J25" s="39">
        <f t="shared" ref="J25:J28" si="3">D25*H25</f>
        <v>3500</v>
      </c>
    </row>
    <row r="26">
      <c r="A26" s="75">
        <v>2.0</v>
      </c>
      <c r="B26" s="75" t="s">
        <v>205</v>
      </c>
      <c r="C26" s="86"/>
      <c r="D26" s="87">
        <v>1.0</v>
      </c>
      <c r="E26" s="75" t="s">
        <v>47</v>
      </c>
      <c r="F26" s="86"/>
      <c r="G26" s="75" t="s">
        <v>68</v>
      </c>
      <c r="H26" s="81">
        <v>20000.0</v>
      </c>
      <c r="I26" s="88"/>
      <c r="J26" s="39">
        <f t="shared" si="3"/>
        <v>20000</v>
      </c>
    </row>
    <row r="27">
      <c r="A27" s="75">
        <v>3.0</v>
      </c>
      <c r="B27" s="75" t="s">
        <v>206</v>
      </c>
      <c r="C27" s="86"/>
      <c r="D27" s="87">
        <v>1.0</v>
      </c>
      <c r="E27" s="75" t="s">
        <v>47</v>
      </c>
      <c r="F27" s="89"/>
      <c r="G27" s="75" t="s">
        <v>68</v>
      </c>
      <c r="H27" s="81">
        <v>3000.0</v>
      </c>
      <c r="I27" s="88"/>
      <c r="J27" s="39">
        <f t="shared" si="3"/>
        <v>3000</v>
      </c>
    </row>
    <row r="28">
      <c r="A28" s="75">
        <v>4.0</v>
      </c>
      <c r="B28" s="75" t="s">
        <v>141</v>
      </c>
      <c r="C28" s="86"/>
      <c r="D28" s="87">
        <v>12.0</v>
      </c>
      <c r="E28" s="75" t="s">
        <v>47</v>
      </c>
      <c r="F28" s="89"/>
      <c r="G28" s="75" t="s">
        <v>68</v>
      </c>
      <c r="H28" s="81">
        <v>300.0</v>
      </c>
      <c r="I28" s="88"/>
      <c r="J28" s="39">
        <f t="shared" si="3"/>
        <v>3600</v>
      </c>
    </row>
    <row r="29">
      <c r="A29" s="75"/>
      <c r="B29" s="75"/>
      <c r="C29" s="86"/>
      <c r="D29" s="87"/>
      <c r="E29" s="75"/>
      <c r="F29" s="86"/>
      <c r="G29" s="75"/>
      <c r="H29" s="81"/>
      <c r="I29" s="88"/>
      <c r="J29" s="89"/>
    </row>
    <row r="30">
      <c r="A30" s="75"/>
      <c r="B30" s="75"/>
      <c r="C30" s="86"/>
      <c r="D30" s="87"/>
      <c r="E30" s="75"/>
      <c r="F30" s="89"/>
      <c r="G30" s="75"/>
      <c r="H30" s="81"/>
      <c r="I30" s="88"/>
      <c r="J30" s="89"/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89"/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3:I23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708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1769.17619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6019.17619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1/21</f>
        <v>0.04761904762</v>
      </c>
      <c r="E14" s="75" t="s">
        <v>35</v>
      </c>
      <c r="F14" s="75" t="s">
        <v>703</v>
      </c>
      <c r="G14" s="75" t="s">
        <v>38</v>
      </c>
      <c r="H14" s="81">
        <v>25000.0</v>
      </c>
      <c r="I14" s="80"/>
      <c r="J14" s="39">
        <f t="shared" ref="J14:J25" si="2">D14*H14</f>
        <v>1190.47619</v>
      </c>
    </row>
    <row r="15">
      <c r="A15" s="75">
        <v>2.0</v>
      </c>
      <c r="B15" s="76" t="s">
        <v>39</v>
      </c>
      <c r="C15" s="75" t="s">
        <v>21</v>
      </c>
      <c r="D15" s="77">
        <v>0.0</v>
      </c>
      <c r="E15" s="75" t="s">
        <v>40</v>
      </c>
      <c r="F15" s="75" t="s">
        <v>704</v>
      </c>
      <c r="G15" s="75" t="s">
        <v>38</v>
      </c>
      <c r="H15" s="81">
        <v>13000.0</v>
      </c>
      <c r="I15" s="80"/>
      <c r="J15" s="39">
        <f t="shared" si="2"/>
        <v>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/>
      <c r="C20" s="75"/>
      <c r="D20" s="94"/>
      <c r="E20" s="75"/>
      <c r="F20" s="75"/>
      <c r="G20" s="75"/>
      <c r="H20" s="81"/>
      <c r="I20" s="80"/>
      <c r="J20" s="95">
        <f t="shared" si="2"/>
        <v>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1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2500.0</v>
      </c>
      <c r="I29" s="88"/>
      <c r="J29" s="39">
        <f t="shared" si="3"/>
        <v>2500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709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1769.17619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4750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6519.17619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1/21</f>
        <v>0.04761904762</v>
      </c>
      <c r="E14" s="75" t="s">
        <v>35</v>
      </c>
      <c r="F14" s="75" t="s">
        <v>703</v>
      </c>
      <c r="G14" s="75" t="s">
        <v>38</v>
      </c>
      <c r="H14" s="81">
        <v>25000.0</v>
      </c>
      <c r="I14" s="80"/>
      <c r="J14" s="39">
        <f t="shared" ref="J14:J25" si="2">D14*H14</f>
        <v>1190.47619</v>
      </c>
    </row>
    <row r="15">
      <c r="A15" s="75">
        <v>2.0</v>
      </c>
      <c r="B15" s="76" t="s">
        <v>39</v>
      </c>
      <c r="C15" s="75" t="s">
        <v>21</v>
      </c>
      <c r="D15" s="77">
        <v>0.0</v>
      </c>
      <c r="E15" s="75" t="s">
        <v>40</v>
      </c>
      <c r="F15" s="75" t="s">
        <v>704</v>
      </c>
      <c r="G15" s="75" t="s">
        <v>38</v>
      </c>
      <c r="H15" s="81">
        <v>13000.0</v>
      </c>
      <c r="I15" s="80"/>
      <c r="J15" s="39">
        <f t="shared" si="2"/>
        <v>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/>
      <c r="C20" s="75"/>
      <c r="D20" s="94"/>
      <c r="E20" s="75"/>
      <c r="F20" s="75"/>
      <c r="G20" s="75"/>
      <c r="H20" s="81"/>
      <c r="I20" s="80"/>
      <c r="J20" s="95">
        <f t="shared" si="2"/>
        <v>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750.0</v>
      </c>
      <c r="I28" s="88"/>
      <c r="J28" s="39">
        <f t="shared" ref="J28:J31" si="3">D28*H28</f>
        <v>750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3000.0</v>
      </c>
      <c r="I29" s="88"/>
      <c r="J29" s="39">
        <f t="shared" si="3"/>
        <v>3000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710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2060.842857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8900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10960.84286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1/21</f>
        <v>0.04761904762</v>
      </c>
      <c r="E14" s="75" t="s">
        <v>35</v>
      </c>
      <c r="F14" s="75" t="s">
        <v>703</v>
      </c>
      <c r="G14" s="75" t="s">
        <v>38</v>
      </c>
      <c r="H14" s="81">
        <v>25000.0</v>
      </c>
      <c r="I14" s="80"/>
      <c r="J14" s="39">
        <f t="shared" ref="J14:J25" si="2">D14*H14</f>
        <v>1190.47619</v>
      </c>
    </row>
    <row r="15">
      <c r="A15" s="75">
        <v>2.0</v>
      </c>
      <c r="B15" s="76" t="s">
        <v>39</v>
      </c>
      <c r="C15" s="75" t="s">
        <v>21</v>
      </c>
      <c r="D15" s="77">
        <v>0.0</v>
      </c>
      <c r="E15" s="75" t="s">
        <v>40</v>
      </c>
      <c r="F15" s="75" t="s">
        <v>704</v>
      </c>
      <c r="G15" s="75" t="s">
        <v>38</v>
      </c>
      <c r="H15" s="81">
        <v>13000.0</v>
      </c>
      <c r="I15" s="80"/>
      <c r="J15" s="39">
        <f t="shared" si="2"/>
        <v>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200</v>
      </c>
      <c r="C20" s="75" t="s">
        <v>201</v>
      </c>
      <c r="D20" s="107">
        <f>(1/144)*7</f>
        <v>0.04861111111</v>
      </c>
      <c r="E20" s="75" t="s">
        <v>47</v>
      </c>
      <c r="F20" s="75" t="s">
        <v>202</v>
      </c>
      <c r="G20" s="75">
        <v>1001.0</v>
      </c>
      <c r="H20" s="81">
        <v>6000.0</v>
      </c>
      <c r="I20" s="75">
        <v>6000.0</v>
      </c>
      <c r="J20" s="39">
        <f t="shared" si="2"/>
        <v>291.6666667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1500.0</v>
      </c>
      <c r="I28" s="88"/>
      <c r="J28" s="39">
        <f t="shared" ref="J28:J31" si="3">D28*H28</f>
        <v>1500</v>
      </c>
    </row>
    <row r="29">
      <c r="A29" s="75">
        <v>2.0</v>
      </c>
      <c r="B29" s="75" t="s">
        <v>360</v>
      </c>
      <c r="C29" s="86"/>
      <c r="D29" s="87">
        <v>1.0</v>
      </c>
      <c r="E29" s="75" t="s">
        <v>47</v>
      </c>
      <c r="F29" s="86"/>
      <c r="G29" s="75" t="s">
        <v>68</v>
      </c>
      <c r="H29" s="81">
        <v>5500.0</v>
      </c>
      <c r="I29" s="88"/>
      <c r="J29" s="39">
        <f t="shared" si="3"/>
        <v>5500</v>
      </c>
    </row>
    <row r="30">
      <c r="A30" s="75">
        <v>3.0</v>
      </c>
      <c r="B30" s="75" t="s">
        <v>362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1000.0</v>
      </c>
      <c r="I30" s="88"/>
      <c r="J30" s="39">
        <f t="shared" si="3"/>
        <v>1000</v>
      </c>
    </row>
    <row r="31">
      <c r="A31" s="75">
        <v>4.0</v>
      </c>
      <c r="B31" s="75" t="s">
        <v>141</v>
      </c>
      <c r="C31" s="86"/>
      <c r="D31" s="87">
        <v>3.0</v>
      </c>
      <c r="E31" s="75" t="s">
        <v>47</v>
      </c>
      <c r="F31" s="89"/>
      <c r="G31" s="75" t="s">
        <v>68</v>
      </c>
      <c r="H31" s="81">
        <v>300.0</v>
      </c>
      <c r="I31" s="88"/>
      <c r="J31" s="39">
        <f t="shared" si="3"/>
        <v>900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711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3078.7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30500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33578.7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v>0.1</v>
      </c>
      <c r="E14" s="75" t="s">
        <v>35</v>
      </c>
      <c r="F14" s="75"/>
      <c r="G14" s="75" t="s">
        <v>38</v>
      </c>
      <c r="H14" s="81">
        <v>25000.0</v>
      </c>
      <c r="I14" s="80"/>
      <c r="J14" s="39">
        <f t="shared" ref="J14:J25" si="2">D14*H14</f>
        <v>2500</v>
      </c>
    </row>
    <row r="15">
      <c r="A15" s="75">
        <v>2.0</v>
      </c>
      <c r="B15" s="76" t="s">
        <v>39</v>
      </c>
      <c r="C15" s="75" t="s">
        <v>21</v>
      </c>
      <c r="D15" s="77">
        <v>0.0</v>
      </c>
      <c r="E15" s="75" t="s">
        <v>40</v>
      </c>
      <c r="F15" s="75"/>
      <c r="G15" s="75" t="s">
        <v>38</v>
      </c>
      <c r="H15" s="81">
        <v>13000.0</v>
      </c>
      <c r="I15" s="80"/>
      <c r="J15" s="39">
        <f t="shared" si="2"/>
        <v>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C20" s="75"/>
      <c r="D20" s="94"/>
      <c r="E20" s="75"/>
      <c r="F20" s="75"/>
      <c r="G20" s="75"/>
      <c r="H20" s="81"/>
      <c r="I20" s="80"/>
      <c r="J20" s="95">
        <f t="shared" si="2"/>
        <v>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1" si="3">D28*H28</f>
        <v>5500</v>
      </c>
    </row>
    <row r="29">
      <c r="A29" s="75">
        <v>2.0</v>
      </c>
      <c r="B29" s="75" t="s">
        <v>319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20000.0</v>
      </c>
      <c r="I29" s="88"/>
      <c r="J29" s="39">
        <f t="shared" si="3"/>
        <v>20000</v>
      </c>
    </row>
    <row r="30">
      <c r="A30" s="75">
        <v>3.0</v>
      </c>
      <c r="B30" s="75" t="s">
        <v>321</v>
      </c>
      <c r="C30" s="86"/>
      <c r="D30" s="87">
        <v>1.0</v>
      </c>
      <c r="E30" s="75" t="s">
        <v>47</v>
      </c>
      <c r="F30" s="89"/>
      <c r="G30" s="75" t="s">
        <v>68</v>
      </c>
      <c r="H30" s="81">
        <v>5000.0</v>
      </c>
      <c r="I30" s="88"/>
      <c r="J30" s="39">
        <f t="shared" si="3"/>
        <v>5000</v>
      </c>
    </row>
    <row r="31">
      <c r="A31" s="75">
        <v>4.0</v>
      </c>
      <c r="B31" s="75" t="s">
        <v>141</v>
      </c>
      <c r="C31" s="86"/>
      <c r="D31" s="87">
        <v>1.0</v>
      </c>
      <c r="E31" s="75" t="s">
        <v>47</v>
      </c>
      <c r="F31" s="89"/>
      <c r="G31" s="75" t="s">
        <v>68</v>
      </c>
      <c r="H31" s="81"/>
      <c r="I31" s="88"/>
      <c r="J31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712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5092.985714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30500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35592.98571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v>0.1</v>
      </c>
      <c r="E14" s="75" t="s">
        <v>35</v>
      </c>
      <c r="F14" s="75"/>
      <c r="G14" s="75" t="s">
        <v>38</v>
      </c>
      <c r="H14" s="81">
        <v>25000.0</v>
      </c>
      <c r="I14" s="80"/>
      <c r="J14" s="39">
        <f t="shared" ref="J14:J25" si="2">D14*H14</f>
        <v>2500</v>
      </c>
    </row>
    <row r="15">
      <c r="A15" s="75">
        <v>2.0</v>
      </c>
      <c r="B15" s="76" t="s">
        <v>39</v>
      </c>
      <c r="C15" s="75" t="s">
        <v>21</v>
      </c>
      <c r="D15" s="77">
        <v>0.0</v>
      </c>
      <c r="E15" s="75" t="s">
        <v>40</v>
      </c>
      <c r="F15" s="75"/>
      <c r="G15" s="75" t="s">
        <v>38</v>
      </c>
      <c r="H15" s="81">
        <v>13000.0</v>
      </c>
      <c r="I15" s="80"/>
      <c r="J15" s="39">
        <f t="shared" si="2"/>
        <v>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129" t="s">
        <v>449</v>
      </c>
      <c r="C20" s="75"/>
      <c r="D20" s="94">
        <v>1.0</v>
      </c>
      <c r="E20" s="75" t="s">
        <v>225</v>
      </c>
      <c r="F20" s="75" t="s">
        <v>450</v>
      </c>
      <c r="G20" s="75" t="s">
        <v>451</v>
      </c>
      <c r="H20" s="81">
        <f>34000/28</f>
        <v>1214.285714</v>
      </c>
      <c r="I20" s="80"/>
      <c r="J20" s="95">
        <f t="shared" si="2"/>
        <v>1214.285714</v>
      </c>
    </row>
    <row r="21">
      <c r="A21" s="75">
        <v>8.0</v>
      </c>
      <c r="B21" s="76" t="s">
        <v>453</v>
      </c>
      <c r="C21" s="75"/>
      <c r="D21" s="83">
        <v>2.0</v>
      </c>
      <c r="E21" s="75"/>
      <c r="F21" s="75" t="s">
        <v>457</v>
      </c>
      <c r="G21" s="75" t="s">
        <v>451</v>
      </c>
      <c r="H21" s="81">
        <v>400.0</v>
      </c>
      <c r="I21" s="80"/>
      <c r="J21" s="39">
        <f t="shared" si="2"/>
        <v>800</v>
      </c>
    </row>
    <row r="22">
      <c r="A22" s="75">
        <v>9.0</v>
      </c>
      <c r="B22" s="76" t="s">
        <v>161</v>
      </c>
      <c r="C22" s="75"/>
      <c r="D22" s="83">
        <v>0.0</v>
      </c>
      <c r="E22" s="75"/>
      <c r="F22" s="75"/>
      <c r="G22" s="75" t="s">
        <v>163</v>
      </c>
      <c r="H22" s="81">
        <v>10000.0</v>
      </c>
      <c r="I22" s="80"/>
      <c r="J22" s="39">
        <f t="shared" si="2"/>
        <v>0</v>
      </c>
    </row>
    <row r="23">
      <c r="A23" s="75">
        <v>10.0</v>
      </c>
      <c r="B23" s="76" t="s">
        <v>458</v>
      </c>
      <c r="C23" s="75"/>
      <c r="D23" s="83">
        <v>2.0</v>
      </c>
      <c r="E23" s="75"/>
      <c r="F23" s="75" t="s">
        <v>459</v>
      </c>
      <c r="G23" s="75" t="s">
        <v>451</v>
      </c>
      <c r="H23" s="81">
        <f>9000/60</f>
        <v>150</v>
      </c>
      <c r="I23" s="80"/>
      <c r="J23" s="39">
        <f t="shared" si="2"/>
        <v>300</v>
      </c>
    </row>
    <row r="24">
      <c r="A24" s="75">
        <v>11.0</v>
      </c>
      <c r="B24" s="76" t="s">
        <v>716</v>
      </c>
      <c r="C24" s="75"/>
      <c r="D24" s="83">
        <v>1.0</v>
      </c>
      <c r="E24" s="75"/>
      <c r="F24" s="75"/>
      <c r="G24" s="75">
        <v>1001.0</v>
      </c>
      <c r="H24" s="81">
        <v>4000.0</v>
      </c>
      <c r="I24" s="80"/>
      <c r="J24" s="39">
        <f t="shared" si="2"/>
        <v>4000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1" si="3">D28*H28</f>
        <v>5500</v>
      </c>
    </row>
    <row r="29">
      <c r="A29" s="75">
        <v>2.0</v>
      </c>
      <c r="B29" s="75" t="s">
        <v>319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20000.0</v>
      </c>
      <c r="I29" s="88"/>
      <c r="J29" s="39">
        <f t="shared" si="3"/>
        <v>20000</v>
      </c>
    </row>
    <row r="30">
      <c r="A30" s="75">
        <v>3.0</v>
      </c>
      <c r="B30" s="75" t="s">
        <v>321</v>
      </c>
      <c r="C30" s="86"/>
      <c r="D30" s="87">
        <v>1.0</v>
      </c>
      <c r="E30" s="75" t="s">
        <v>47</v>
      </c>
      <c r="F30" s="89"/>
      <c r="G30" s="75" t="s">
        <v>68</v>
      </c>
      <c r="H30" s="81">
        <v>5000.0</v>
      </c>
      <c r="I30" s="88"/>
      <c r="J30" s="39">
        <f t="shared" si="3"/>
        <v>5000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713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3078.7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40500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43578.7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v>0.1</v>
      </c>
      <c r="E14" s="75" t="s">
        <v>35</v>
      </c>
      <c r="F14" s="75"/>
      <c r="G14" s="75" t="s">
        <v>38</v>
      </c>
      <c r="H14" s="81">
        <v>25000.0</v>
      </c>
      <c r="I14" s="80"/>
      <c r="J14" s="39">
        <f t="shared" ref="J14:J25" si="2">D14*H14</f>
        <v>2500</v>
      </c>
    </row>
    <row r="15">
      <c r="A15" s="75">
        <v>2.0</v>
      </c>
      <c r="B15" s="76" t="s">
        <v>39</v>
      </c>
      <c r="C15" s="75" t="s">
        <v>21</v>
      </c>
      <c r="D15" s="77">
        <v>0.0</v>
      </c>
      <c r="E15" s="75" t="s">
        <v>40</v>
      </c>
      <c r="F15" s="75"/>
      <c r="G15" s="75" t="s">
        <v>38</v>
      </c>
      <c r="H15" s="81">
        <v>13000.0</v>
      </c>
      <c r="I15" s="80"/>
      <c r="J15" s="39">
        <f t="shared" si="2"/>
        <v>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C20" s="75"/>
      <c r="D20" s="94"/>
      <c r="E20" s="75"/>
      <c r="F20" s="75"/>
      <c r="G20" s="75"/>
      <c r="H20" s="81"/>
      <c r="I20" s="80"/>
      <c r="J20" s="95">
        <f t="shared" si="2"/>
        <v>0</v>
      </c>
    </row>
    <row r="21">
      <c r="A21" s="75">
        <v>8.0</v>
      </c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>
        <v>9.0</v>
      </c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>
        <v>10.0</v>
      </c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>
        <v>11.0</v>
      </c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1" si="3">D28*H28</f>
        <v>5500</v>
      </c>
    </row>
    <row r="29">
      <c r="A29" s="75">
        <v>2.0</v>
      </c>
      <c r="B29" s="75" t="s">
        <v>319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30000.0</v>
      </c>
      <c r="I29" s="88"/>
      <c r="J29" s="39">
        <f t="shared" si="3"/>
        <v>30000</v>
      </c>
    </row>
    <row r="30">
      <c r="A30" s="75">
        <v>3.0</v>
      </c>
      <c r="B30" s="75" t="s">
        <v>321</v>
      </c>
      <c r="C30" s="86"/>
      <c r="D30" s="87">
        <v>1.0</v>
      </c>
      <c r="E30" s="75" t="s">
        <v>47</v>
      </c>
      <c r="F30" s="89"/>
      <c r="G30" s="75" t="s">
        <v>68</v>
      </c>
      <c r="H30" s="81">
        <v>5000.0</v>
      </c>
      <c r="I30" s="88"/>
      <c r="J30" s="39">
        <f t="shared" si="3"/>
        <v>5000</v>
      </c>
    </row>
    <row r="31">
      <c r="A31" s="75">
        <v>4.0</v>
      </c>
      <c r="B31" s="75" t="s">
        <v>141</v>
      </c>
      <c r="C31" s="86"/>
      <c r="D31" s="87">
        <v>1.0</v>
      </c>
      <c r="E31" s="75" t="s">
        <v>47</v>
      </c>
      <c r="F31" s="89"/>
      <c r="G31" s="75" t="s">
        <v>68</v>
      </c>
      <c r="H31" s="81"/>
      <c r="I31" s="88"/>
      <c r="J31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714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5092.985714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40500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45592.98571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v>0.1</v>
      </c>
      <c r="E14" s="75" t="s">
        <v>35</v>
      </c>
      <c r="F14" s="75"/>
      <c r="G14" s="75" t="s">
        <v>38</v>
      </c>
      <c r="H14" s="81">
        <v>25000.0</v>
      </c>
      <c r="I14" s="80"/>
      <c r="J14" s="39">
        <f t="shared" ref="J14:J25" si="2">D14*H14</f>
        <v>2500</v>
      </c>
    </row>
    <row r="15">
      <c r="A15" s="75">
        <v>2.0</v>
      </c>
      <c r="B15" s="76" t="s">
        <v>39</v>
      </c>
      <c r="C15" s="75" t="s">
        <v>21</v>
      </c>
      <c r="D15" s="77">
        <v>0.0</v>
      </c>
      <c r="E15" s="75" t="s">
        <v>40</v>
      </c>
      <c r="F15" s="75"/>
      <c r="G15" s="75" t="s">
        <v>38</v>
      </c>
      <c r="H15" s="81">
        <v>13000.0</v>
      </c>
      <c r="I15" s="80"/>
      <c r="J15" s="39">
        <f t="shared" si="2"/>
        <v>0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129" t="s">
        <v>449</v>
      </c>
      <c r="C20" s="75" t="s">
        <v>543</v>
      </c>
      <c r="D20" s="94">
        <v>1.0</v>
      </c>
      <c r="E20" s="75" t="s">
        <v>225</v>
      </c>
      <c r="F20" s="75" t="s">
        <v>450</v>
      </c>
      <c r="G20" s="75" t="s">
        <v>451</v>
      </c>
      <c r="H20" s="81">
        <f>34000/28</f>
        <v>1214.285714</v>
      </c>
      <c r="I20" s="80"/>
      <c r="J20" s="95">
        <f t="shared" si="2"/>
        <v>1214.285714</v>
      </c>
    </row>
    <row r="21">
      <c r="A21" s="75">
        <v>8.0</v>
      </c>
      <c r="B21" s="76" t="s">
        <v>453</v>
      </c>
      <c r="C21" s="75" t="s">
        <v>543</v>
      </c>
      <c r="D21" s="83">
        <v>2.0</v>
      </c>
      <c r="E21" s="75" t="s">
        <v>47</v>
      </c>
      <c r="F21" s="75" t="s">
        <v>457</v>
      </c>
      <c r="G21" s="75" t="s">
        <v>451</v>
      </c>
      <c r="H21" s="81">
        <v>400.0</v>
      </c>
      <c r="I21" s="80"/>
      <c r="J21" s="39">
        <f t="shared" si="2"/>
        <v>800</v>
      </c>
    </row>
    <row r="22">
      <c r="A22" s="75">
        <v>9.0</v>
      </c>
      <c r="B22" s="76" t="s">
        <v>161</v>
      </c>
      <c r="C22" s="75" t="s">
        <v>543</v>
      </c>
      <c r="D22" s="83">
        <v>0.0</v>
      </c>
      <c r="E22" s="75" t="s">
        <v>47</v>
      </c>
      <c r="F22" s="75"/>
      <c r="G22" s="75" t="s">
        <v>163</v>
      </c>
      <c r="H22" s="81">
        <v>10000.0</v>
      </c>
      <c r="I22" s="80"/>
      <c r="J22" s="39">
        <f t="shared" si="2"/>
        <v>0</v>
      </c>
    </row>
    <row r="23">
      <c r="A23" s="75">
        <v>10.0</v>
      </c>
      <c r="B23" s="76" t="s">
        <v>458</v>
      </c>
      <c r="C23" s="75" t="s">
        <v>543</v>
      </c>
      <c r="D23" s="83">
        <v>2.0</v>
      </c>
      <c r="E23" s="75" t="s">
        <v>47</v>
      </c>
      <c r="F23" s="75" t="s">
        <v>459</v>
      </c>
      <c r="G23" s="75" t="s">
        <v>451</v>
      </c>
      <c r="H23" s="81">
        <f>9000/60</f>
        <v>150</v>
      </c>
      <c r="I23" s="80"/>
      <c r="J23" s="39">
        <f t="shared" si="2"/>
        <v>300</v>
      </c>
    </row>
    <row r="24">
      <c r="A24" s="75">
        <v>11.0</v>
      </c>
      <c r="B24" s="76" t="s">
        <v>716</v>
      </c>
      <c r="C24" s="75" t="s">
        <v>543</v>
      </c>
      <c r="D24" s="83">
        <v>1.0</v>
      </c>
      <c r="E24" s="75" t="s">
        <v>47</v>
      </c>
      <c r="F24" s="75"/>
      <c r="G24" s="75">
        <v>1001.0</v>
      </c>
      <c r="H24" s="81">
        <v>4000.0</v>
      </c>
      <c r="I24" s="80"/>
      <c r="J24" s="39">
        <f t="shared" si="2"/>
        <v>4000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357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1" si="3">D28*H28</f>
        <v>5500</v>
      </c>
    </row>
    <row r="29">
      <c r="A29" s="75">
        <v>2.0</v>
      </c>
      <c r="B29" s="75" t="s">
        <v>319</v>
      </c>
      <c r="C29" s="86"/>
      <c r="D29" s="87">
        <v>1.0</v>
      </c>
      <c r="E29" s="75" t="s">
        <v>47</v>
      </c>
      <c r="F29" s="86"/>
      <c r="G29" s="75" t="s">
        <v>68</v>
      </c>
      <c r="H29" s="81">
        <v>30000.0</v>
      </c>
      <c r="I29" s="88"/>
      <c r="J29" s="39">
        <f t="shared" si="3"/>
        <v>30000</v>
      </c>
    </row>
    <row r="30">
      <c r="A30" s="75">
        <v>3.0</v>
      </c>
      <c r="B30" s="75" t="s">
        <v>321</v>
      </c>
      <c r="C30" s="86"/>
      <c r="D30" s="87">
        <v>1.0</v>
      </c>
      <c r="E30" s="75" t="s">
        <v>47</v>
      </c>
      <c r="F30" s="89"/>
      <c r="G30" s="75" t="s">
        <v>68</v>
      </c>
      <c r="H30" s="81">
        <v>5000.0</v>
      </c>
      <c r="I30" s="88"/>
      <c r="J30" s="39">
        <f t="shared" si="3"/>
        <v>5000</v>
      </c>
    </row>
    <row r="31">
      <c r="A31" s="75"/>
      <c r="B31" s="75"/>
      <c r="C31" s="86"/>
      <c r="D31" s="87"/>
      <c r="E31" s="75"/>
      <c r="F31" s="89"/>
      <c r="G31" s="75"/>
      <c r="H31" s="81"/>
      <c r="I31" s="88"/>
      <c r="J31" s="39">
        <f t="shared" si="3"/>
        <v>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715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8036.166667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28800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36836.16667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1/21</f>
        <v>0.04761904762</v>
      </c>
      <c r="E14" s="75" t="s">
        <v>35</v>
      </c>
      <c r="F14" s="75" t="s">
        <v>251</v>
      </c>
      <c r="G14" s="75" t="s">
        <v>38</v>
      </c>
      <c r="H14" s="81">
        <v>25000.0</v>
      </c>
      <c r="I14" s="80"/>
      <c r="J14" s="39">
        <f t="shared" ref="J14:J25" si="2">D14*H14</f>
        <v>1190.47619</v>
      </c>
    </row>
    <row r="15">
      <c r="A15" s="75">
        <v>2.0</v>
      </c>
      <c r="B15" s="76" t="s">
        <v>39</v>
      </c>
      <c r="C15" s="75" t="s">
        <v>21</v>
      </c>
      <c r="D15" s="77">
        <f>4/21</f>
        <v>0.1904761905</v>
      </c>
      <c r="E15" s="75" t="s">
        <v>40</v>
      </c>
      <c r="F15" s="75" t="s">
        <v>253</v>
      </c>
      <c r="G15" s="75" t="s">
        <v>38</v>
      </c>
      <c r="H15" s="81">
        <v>13000.0</v>
      </c>
      <c r="I15" s="80"/>
      <c r="J15" s="39">
        <f t="shared" si="2"/>
        <v>2476.190476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256</v>
      </c>
      <c r="C20" s="75" t="s">
        <v>54</v>
      </c>
      <c r="D20" s="94">
        <v>0.9</v>
      </c>
      <c r="E20" s="75" t="s">
        <v>148</v>
      </c>
      <c r="F20" s="75" t="s">
        <v>257</v>
      </c>
      <c r="G20" s="75" t="s">
        <v>38</v>
      </c>
      <c r="H20" s="81">
        <v>4212.0</v>
      </c>
      <c r="I20" s="80"/>
      <c r="J20" s="95">
        <f t="shared" si="2"/>
        <v>3790.8</v>
      </c>
    </row>
    <row r="21">
      <c r="A21" s="75"/>
      <c r="B21" s="76"/>
      <c r="C21" s="75"/>
      <c r="D21" s="83"/>
      <c r="E21" s="75"/>
      <c r="F21" s="75"/>
      <c r="G21" s="75"/>
      <c r="H21" s="81"/>
      <c r="I21" s="80"/>
      <c r="J21" s="39">
        <f t="shared" si="2"/>
        <v>0</v>
      </c>
    </row>
    <row r="22">
      <c r="A22" s="75"/>
      <c r="B22" s="76"/>
      <c r="C22" s="75"/>
      <c r="D22" s="83"/>
      <c r="E22" s="75"/>
      <c r="F22" s="75"/>
      <c r="G22" s="75"/>
      <c r="H22" s="81"/>
      <c r="I22" s="80"/>
      <c r="J22" s="39">
        <f t="shared" si="2"/>
        <v>0</v>
      </c>
    </row>
    <row r="23">
      <c r="A23" s="75"/>
      <c r="B23" s="76"/>
      <c r="C23" s="75"/>
      <c r="D23" s="83"/>
      <c r="E23" s="75"/>
      <c r="F23" s="75"/>
      <c r="G23" s="75"/>
      <c r="H23" s="81"/>
      <c r="I23" s="80"/>
      <c r="J23" s="39">
        <f t="shared" si="2"/>
        <v>0</v>
      </c>
    </row>
    <row r="24">
      <c r="A24" s="75"/>
      <c r="B24" s="76"/>
      <c r="C24" s="75"/>
      <c r="D24" s="83"/>
      <c r="E24" s="75"/>
      <c r="F24" s="75"/>
      <c r="G24" s="75"/>
      <c r="H24" s="81"/>
      <c r="I24" s="80"/>
      <c r="J24" s="39">
        <f t="shared" si="2"/>
        <v>0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66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1" si="3">D28*H28</f>
        <v>5500</v>
      </c>
    </row>
    <row r="29">
      <c r="A29" s="75">
        <v>2.0</v>
      </c>
      <c r="B29" s="75" t="s">
        <v>71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20000.0</v>
      </c>
      <c r="I29" s="88"/>
      <c r="J29" s="39">
        <f t="shared" si="3"/>
        <v>20000</v>
      </c>
    </row>
    <row r="30">
      <c r="A30" s="75">
        <v>3.0</v>
      </c>
      <c r="B30" s="75" t="s">
        <v>72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3000.0</v>
      </c>
      <c r="I30" s="88"/>
      <c r="J30" s="39">
        <f t="shared" si="3"/>
        <v>3000</v>
      </c>
    </row>
    <row r="31">
      <c r="A31" s="75">
        <v>4.0</v>
      </c>
      <c r="B31" s="75" t="s">
        <v>141</v>
      </c>
      <c r="C31" s="86"/>
      <c r="D31" s="87">
        <v>1.0</v>
      </c>
      <c r="E31" s="75" t="s">
        <v>47</v>
      </c>
      <c r="F31" s="89"/>
      <c r="G31" s="75" t="s">
        <v>68</v>
      </c>
      <c r="H31" s="81">
        <v>300.0</v>
      </c>
      <c r="I31" s="88"/>
      <c r="J31" s="39">
        <f t="shared" si="3"/>
        <v>300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717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SUM(J14:J21)</f>
        <v>10452.83667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SUM(J28:J31)</f>
        <v>28800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39252.83667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37" t="s">
        <v>9</v>
      </c>
      <c r="J8" s="37"/>
    </row>
    <row r="9">
      <c r="A9" s="38" t="s">
        <v>10</v>
      </c>
      <c r="B9" s="38" t="s">
        <v>11</v>
      </c>
      <c r="C9" s="38" t="s">
        <v>12</v>
      </c>
      <c r="D9" s="38" t="s">
        <v>13</v>
      </c>
      <c r="E9" s="38" t="s">
        <v>14</v>
      </c>
      <c r="F9" s="38" t="s">
        <v>15</v>
      </c>
      <c r="G9" s="38" t="s">
        <v>16</v>
      </c>
      <c r="H9" s="38" t="s">
        <v>17</v>
      </c>
      <c r="I9" s="38" t="s">
        <v>18</v>
      </c>
      <c r="J9" s="38" t="s">
        <v>19</v>
      </c>
    </row>
    <row r="10">
      <c r="A10" s="75">
        <v>1.0</v>
      </c>
      <c r="B10" s="76"/>
      <c r="C10" s="75"/>
      <c r="D10" s="77"/>
      <c r="E10" s="75"/>
      <c r="F10" s="78"/>
      <c r="G10" s="75"/>
      <c r="H10" s="79"/>
      <c r="I10" s="81"/>
      <c r="J10" s="39">
        <f t="shared" ref="J10:J11" si="1">D10*H10</f>
        <v>0</v>
      </c>
    </row>
    <row r="11">
      <c r="A11" s="75">
        <v>2.0</v>
      </c>
      <c r="B11" s="76"/>
      <c r="C11" s="75"/>
      <c r="D11" s="77"/>
      <c r="E11" s="75"/>
      <c r="F11" s="78"/>
      <c r="G11" s="75"/>
      <c r="H11" s="79"/>
      <c r="I11" s="81"/>
      <c r="J11" s="39">
        <f t="shared" si="1"/>
        <v>0</v>
      </c>
    </row>
    <row r="12">
      <c r="A12" s="40" t="s">
        <v>31</v>
      </c>
      <c r="J12" s="40"/>
    </row>
    <row r="13">
      <c r="A13" s="41" t="s">
        <v>10</v>
      </c>
      <c r="B13" s="41" t="s">
        <v>11</v>
      </c>
      <c r="C13" s="41" t="s">
        <v>12</v>
      </c>
      <c r="D13" s="41" t="s">
        <v>13</v>
      </c>
      <c r="E13" s="41" t="s">
        <v>14</v>
      </c>
      <c r="F13" s="41" t="s">
        <v>32</v>
      </c>
      <c r="G13" s="41" t="s">
        <v>16</v>
      </c>
      <c r="H13" s="41" t="s">
        <v>17</v>
      </c>
      <c r="I13" s="41" t="s">
        <v>18</v>
      </c>
      <c r="J13" s="41" t="s">
        <v>19</v>
      </c>
    </row>
    <row r="14">
      <c r="A14" s="75">
        <v>1.0</v>
      </c>
      <c r="B14" s="76" t="s">
        <v>33</v>
      </c>
      <c r="C14" s="75" t="s">
        <v>21</v>
      </c>
      <c r="D14" s="77">
        <f>1/21</f>
        <v>0.04761904762</v>
      </c>
      <c r="E14" s="75" t="s">
        <v>35</v>
      </c>
      <c r="F14" s="75" t="s">
        <v>251</v>
      </c>
      <c r="G14" s="75" t="s">
        <v>38</v>
      </c>
      <c r="H14" s="81">
        <v>25000.0</v>
      </c>
      <c r="I14" s="80"/>
      <c r="J14" s="39">
        <f t="shared" ref="J14:J25" si="2">D14*H14</f>
        <v>1190.47619</v>
      </c>
    </row>
    <row r="15">
      <c r="A15" s="75">
        <v>2.0</v>
      </c>
      <c r="B15" s="76" t="s">
        <v>39</v>
      </c>
      <c r="C15" s="75" t="s">
        <v>21</v>
      </c>
      <c r="D15" s="77">
        <f>4/21</f>
        <v>0.1904761905</v>
      </c>
      <c r="E15" s="75" t="s">
        <v>40</v>
      </c>
      <c r="F15" s="75" t="s">
        <v>253</v>
      </c>
      <c r="G15" s="75" t="s">
        <v>38</v>
      </c>
      <c r="H15" s="81">
        <v>13000.0</v>
      </c>
      <c r="I15" s="80"/>
      <c r="J15" s="39">
        <f t="shared" si="2"/>
        <v>2476.190476</v>
      </c>
    </row>
    <row r="16">
      <c r="A16" s="75">
        <v>3.0</v>
      </c>
      <c r="B16" s="76" t="s">
        <v>42</v>
      </c>
      <c r="C16" s="75" t="s">
        <v>21</v>
      </c>
      <c r="D16" s="77">
        <f>1/100</f>
        <v>0.01</v>
      </c>
      <c r="E16" s="75" t="s">
        <v>43</v>
      </c>
      <c r="F16" s="75" t="s">
        <v>198</v>
      </c>
      <c r="G16" s="75" t="s">
        <v>38</v>
      </c>
      <c r="H16" s="81">
        <v>10000.0</v>
      </c>
      <c r="I16" s="80"/>
      <c r="J16" s="39">
        <f t="shared" si="2"/>
        <v>100</v>
      </c>
    </row>
    <row r="17">
      <c r="A17" s="75">
        <v>4.0</v>
      </c>
      <c r="B17" s="76" t="s">
        <v>45</v>
      </c>
      <c r="C17" s="75" t="s">
        <v>46</v>
      </c>
      <c r="D17" s="77">
        <v>1.0</v>
      </c>
      <c r="E17" s="75" t="s">
        <v>47</v>
      </c>
      <c r="F17" s="75" t="s">
        <v>48</v>
      </c>
      <c r="G17" s="75" t="s">
        <v>49</v>
      </c>
      <c r="H17" s="81">
        <v>370.0</v>
      </c>
      <c r="I17" s="80"/>
      <c r="J17" s="39">
        <f t="shared" si="2"/>
        <v>370</v>
      </c>
    </row>
    <row r="18">
      <c r="A18" s="75">
        <v>5.0</v>
      </c>
      <c r="B18" s="76" t="s">
        <v>50</v>
      </c>
      <c r="C18" s="75" t="s">
        <v>46</v>
      </c>
      <c r="D18" s="77">
        <f>1/10</f>
        <v>0.1</v>
      </c>
      <c r="E18" s="75" t="s">
        <v>47</v>
      </c>
      <c r="F18" s="75" t="s">
        <v>51</v>
      </c>
      <c r="G18" s="75" t="s">
        <v>52</v>
      </c>
      <c r="H18" s="81">
        <v>587.0</v>
      </c>
      <c r="I18" s="80"/>
      <c r="J18" s="39">
        <f t="shared" si="2"/>
        <v>58.7</v>
      </c>
    </row>
    <row r="19">
      <c r="A19" s="75">
        <v>6.0</v>
      </c>
      <c r="B19" s="76" t="s">
        <v>53</v>
      </c>
      <c r="C19" s="75" t="s">
        <v>54</v>
      </c>
      <c r="D19" s="77">
        <f>1/100</f>
        <v>0.01</v>
      </c>
      <c r="E19" s="75" t="s">
        <v>47</v>
      </c>
      <c r="F19" s="75" t="s">
        <v>55</v>
      </c>
      <c r="G19" s="75" t="s">
        <v>56</v>
      </c>
      <c r="H19" s="81">
        <v>5000.0</v>
      </c>
      <c r="I19" s="80"/>
      <c r="J19" s="39">
        <f t="shared" si="2"/>
        <v>50</v>
      </c>
    </row>
    <row r="20">
      <c r="A20" s="75">
        <v>7.0</v>
      </c>
      <c r="B20" s="76" t="s">
        <v>256</v>
      </c>
      <c r="C20" s="75" t="s">
        <v>54</v>
      </c>
      <c r="D20" s="94">
        <v>0.9</v>
      </c>
      <c r="E20" s="75" t="s">
        <v>148</v>
      </c>
      <c r="F20" s="75" t="s">
        <v>257</v>
      </c>
      <c r="G20" s="75" t="s">
        <v>38</v>
      </c>
      <c r="H20" s="81">
        <v>4212.0</v>
      </c>
      <c r="I20" s="80"/>
      <c r="J20" s="95">
        <f t="shared" si="2"/>
        <v>3790.8</v>
      </c>
    </row>
    <row r="21">
      <c r="A21" s="75">
        <v>8.0</v>
      </c>
      <c r="B21" s="76" t="s">
        <v>258</v>
      </c>
      <c r="C21" s="75" t="s">
        <v>21</v>
      </c>
      <c r="D21" s="83">
        <v>1.0</v>
      </c>
      <c r="E21" s="75" t="s">
        <v>47</v>
      </c>
      <c r="F21" s="75" t="s">
        <v>259</v>
      </c>
      <c r="G21" s="75" t="s">
        <v>38</v>
      </c>
      <c r="H21" s="81">
        <v>2416.67</v>
      </c>
      <c r="I21" s="80"/>
      <c r="J21" s="39">
        <f t="shared" si="2"/>
        <v>2416.67</v>
      </c>
    </row>
    <row r="22">
      <c r="A22" s="75">
        <v>9.0</v>
      </c>
      <c r="B22" s="76" t="s">
        <v>260</v>
      </c>
      <c r="C22" s="75" t="s">
        <v>261</v>
      </c>
      <c r="D22" s="83">
        <v>1.0</v>
      </c>
      <c r="E22" s="75" t="s">
        <v>47</v>
      </c>
      <c r="F22" s="75" t="s">
        <v>263</v>
      </c>
      <c r="G22" s="75" t="s">
        <v>38</v>
      </c>
      <c r="H22" s="81">
        <v>110.0</v>
      </c>
      <c r="I22" s="80"/>
      <c r="J22" s="39">
        <f t="shared" si="2"/>
        <v>110</v>
      </c>
    </row>
    <row r="23">
      <c r="A23" s="75">
        <v>10.0</v>
      </c>
      <c r="B23" s="76" t="s">
        <v>264</v>
      </c>
      <c r="C23" s="75" t="s">
        <v>261</v>
      </c>
      <c r="D23" s="83">
        <v>1.0</v>
      </c>
      <c r="E23" s="75" t="s">
        <v>47</v>
      </c>
      <c r="F23" s="75" t="s">
        <v>263</v>
      </c>
      <c r="G23" s="75" t="s">
        <v>38</v>
      </c>
      <c r="H23" s="81">
        <v>868.0</v>
      </c>
      <c r="I23" s="80"/>
      <c r="J23" s="39">
        <f t="shared" si="2"/>
        <v>868</v>
      </c>
    </row>
    <row r="24">
      <c r="A24" s="75">
        <v>11.0</v>
      </c>
      <c r="B24" s="76" t="s">
        <v>265</v>
      </c>
      <c r="C24" s="75" t="s">
        <v>54</v>
      </c>
      <c r="D24" s="83">
        <v>1.3</v>
      </c>
      <c r="E24" s="75" t="s">
        <v>148</v>
      </c>
      <c r="F24" s="75" t="s">
        <v>266</v>
      </c>
      <c r="G24" s="75" t="s">
        <v>38</v>
      </c>
      <c r="H24" s="81">
        <v>1541.0</v>
      </c>
      <c r="I24" s="80"/>
      <c r="J24" s="39">
        <f t="shared" si="2"/>
        <v>2003.3</v>
      </c>
    </row>
    <row r="25">
      <c r="A25" s="75">
        <v>12.0</v>
      </c>
      <c r="B25" s="76"/>
      <c r="C25" s="75"/>
      <c r="D25" s="83"/>
      <c r="E25" s="75"/>
      <c r="F25" s="75"/>
      <c r="G25" s="75"/>
      <c r="H25" s="81"/>
      <c r="I25" s="80"/>
      <c r="J25" s="39">
        <f t="shared" si="2"/>
        <v>0</v>
      </c>
    </row>
    <row r="26">
      <c r="A26" s="42" t="s">
        <v>63</v>
      </c>
      <c r="J26" s="42"/>
    </row>
    <row r="27">
      <c r="A27" s="43" t="s">
        <v>10</v>
      </c>
      <c r="B27" s="43" t="s">
        <v>64</v>
      </c>
      <c r="C27" s="84"/>
      <c r="D27" s="43" t="s">
        <v>13</v>
      </c>
      <c r="E27" s="43" t="s">
        <v>14</v>
      </c>
      <c r="F27" s="43" t="s">
        <v>32</v>
      </c>
      <c r="G27" s="43" t="s">
        <v>16</v>
      </c>
      <c r="H27" s="43" t="s">
        <v>65</v>
      </c>
      <c r="I27" s="85"/>
      <c r="J27" s="43" t="s">
        <v>19</v>
      </c>
    </row>
    <row r="28">
      <c r="A28" s="75">
        <v>1.0</v>
      </c>
      <c r="B28" s="75" t="s">
        <v>66</v>
      </c>
      <c r="C28" s="86"/>
      <c r="D28" s="87">
        <v>1.0</v>
      </c>
      <c r="E28" s="75" t="s">
        <v>47</v>
      </c>
      <c r="F28" s="86"/>
      <c r="G28" s="75" t="s">
        <v>68</v>
      </c>
      <c r="H28" s="81">
        <v>5500.0</v>
      </c>
      <c r="I28" s="88"/>
      <c r="J28" s="39">
        <f t="shared" ref="J28:J31" si="3">D28*H28</f>
        <v>5500</v>
      </c>
    </row>
    <row r="29">
      <c r="A29" s="75">
        <v>2.0</v>
      </c>
      <c r="B29" s="75" t="s">
        <v>71</v>
      </c>
      <c r="C29" s="86"/>
      <c r="D29" s="87">
        <v>1.0</v>
      </c>
      <c r="E29" s="75" t="s">
        <v>47</v>
      </c>
      <c r="F29" s="86"/>
      <c r="G29" s="75" t="s">
        <v>68</v>
      </c>
      <c r="H29" s="81">
        <v>20000.0</v>
      </c>
      <c r="I29" s="88"/>
      <c r="J29" s="39">
        <f t="shared" si="3"/>
        <v>20000</v>
      </c>
    </row>
    <row r="30">
      <c r="A30" s="75">
        <v>3.0</v>
      </c>
      <c r="B30" s="75" t="s">
        <v>72</v>
      </c>
      <c r="C30" s="86"/>
      <c r="D30" s="87">
        <v>1.0</v>
      </c>
      <c r="E30" s="75" t="s">
        <v>47</v>
      </c>
      <c r="F30" s="89"/>
      <c r="G30" s="75" t="s">
        <v>68</v>
      </c>
      <c r="H30" s="81">
        <v>3000.0</v>
      </c>
      <c r="I30" s="88"/>
      <c r="J30" s="39">
        <f t="shared" si="3"/>
        <v>3000</v>
      </c>
    </row>
    <row r="31">
      <c r="A31" s="75">
        <v>4.0</v>
      </c>
      <c r="B31" s="75" t="s">
        <v>141</v>
      </c>
      <c r="C31" s="86"/>
      <c r="D31" s="87">
        <v>1.0</v>
      </c>
      <c r="E31" s="75" t="s">
        <v>47</v>
      </c>
      <c r="F31" s="89"/>
      <c r="G31" s="75" t="s">
        <v>68</v>
      </c>
      <c r="H31" s="81">
        <v>300.0</v>
      </c>
      <c r="I31" s="88"/>
      <c r="J31" s="39">
        <f t="shared" si="3"/>
        <v>300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6:I26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3.25"/>
    <col customWidth="1" min="3" max="3" width="13.5"/>
    <col customWidth="1" min="4" max="4" width="11.13"/>
    <col customWidth="1" min="5" max="5" width="6.38"/>
    <col customWidth="1" min="6" max="6" width="24.75"/>
    <col customWidth="1" min="7" max="7" width="20.75"/>
    <col customWidth="1" min="8" max="8" width="12.38"/>
    <col customWidth="1" min="9" max="10" width="12.13"/>
  </cols>
  <sheetData>
    <row r="1">
      <c r="A1" s="36"/>
      <c r="B1" s="58"/>
      <c r="C1" s="58"/>
      <c r="D1" s="58"/>
      <c r="E1" s="36"/>
      <c r="F1" s="36"/>
      <c r="G1" s="36"/>
      <c r="H1" s="36"/>
      <c r="I1" s="36"/>
      <c r="J1" s="36"/>
    </row>
    <row r="2">
      <c r="A2" s="60"/>
      <c r="B2" s="96" t="s">
        <v>717</v>
      </c>
      <c r="C2" s="64" t="s">
        <v>3</v>
      </c>
      <c r="D2" s="6"/>
      <c r="E2" s="65"/>
      <c r="F2" s="36"/>
      <c r="G2" s="36"/>
      <c r="H2" s="36"/>
      <c r="I2" s="36"/>
      <c r="J2" s="36"/>
    </row>
    <row r="3">
      <c r="A3" s="60"/>
      <c r="B3" s="66" t="s">
        <v>4</v>
      </c>
      <c r="C3" s="90">
        <f>SUM(J10:J11)</f>
        <v>0</v>
      </c>
      <c r="D3" s="6"/>
      <c r="E3" s="65"/>
      <c r="F3" s="36"/>
      <c r="G3" s="36"/>
      <c r="H3" s="36"/>
      <c r="I3" s="36"/>
      <c r="J3" s="36"/>
    </row>
    <row r="4">
      <c r="A4" s="60"/>
      <c r="B4" s="68" t="s">
        <v>6</v>
      </c>
      <c r="C4" s="91">
        <f>SUM(J14:J22)</f>
        <v>1578.7</v>
      </c>
      <c r="D4" s="6"/>
      <c r="E4" s="65"/>
      <c r="F4" s="36"/>
      <c r="G4" s="36"/>
      <c r="H4" s="36"/>
      <c r="I4" s="36"/>
      <c r="J4" s="36"/>
    </row>
    <row r="5">
      <c r="A5" s="60"/>
      <c r="B5" s="71" t="s">
        <v>7</v>
      </c>
      <c r="C5" s="92">
        <f>SUM(J24:J27)</f>
        <v>7250</v>
      </c>
      <c r="D5" s="6"/>
      <c r="E5" s="65"/>
      <c r="F5" s="36"/>
      <c r="G5" s="36"/>
      <c r="H5" s="36"/>
      <c r="I5" s="36"/>
      <c r="J5" s="36"/>
    </row>
    <row r="6">
      <c r="A6" s="60"/>
      <c r="B6" s="63" t="s">
        <v>8</v>
      </c>
      <c r="C6" s="93">
        <f>SUM(C3:D5)</f>
        <v>8828.7</v>
      </c>
      <c r="D6" s="6"/>
      <c r="E6" s="65"/>
      <c r="F6" s="36"/>
      <c r="G6" s="36"/>
      <c r="H6" s="36"/>
      <c r="I6" s="36"/>
      <c r="J6" s="36"/>
    </row>
    <row r="7">
      <c r="A7" s="36"/>
      <c r="B7" s="74"/>
      <c r="C7" s="74"/>
      <c r="D7" s="74"/>
      <c r="E7" s="36"/>
      <c r="F7" s="36"/>
      <c r="G7" s="36"/>
      <c r="H7" s="36"/>
      <c r="I7" s="36"/>
      <c r="J7" s="36"/>
    </row>
    <row r="8">
      <c r="A8" s="16" t="s">
        <v>9</v>
      </c>
      <c r="J8" s="17"/>
    </row>
    <row r="9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</row>
    <row r="10">
      <c r="A10" s="19">
        <v>1.0</v>
      </c>
      <c r="B10" s="20" t="s">
        <v>22</v>
      </c>
      <c r="C10" s="19"/>
      <c r="D10" s="21"/>
      <c r="E10" s="19"/>
      <c r="F10" s="19"/>
      <c r="G10" s="19"/>
      <c r="H10" s="22"/>
      <c r="I10" s="20"/>
      <c r="J10" s="23">
        <f t="shared" ref="J10:J11" si="1">D10*H10</f>
        <v>0</v>
      </c>
    </row>
    <row r="11">
      <c r="A11" s="19">
        <v>2.0</v>
      </c>
      <c r="B11" s="20" t="s">
        <v>28</v>
      </c>
      <c r="C11" s="19"/>
      <c r="D11" s="21"/>
      <c r="E11" s="19"/>
      <c r="F11" s="19"/>
      <c r="G11" s="19"/>
      <c r="H11" s="22"/>
      <c r="I11" s="24"/>
      <c r="J11" s="23">
        <f t="shared" si="1"/>
        <v>0</v>
      </c>
    </row>
    <row r="12">
      <c r="A12" s="25" t="s">
        <v>31</v>
      </c>
      <c r="J12" s="26"/>
    </row>
    <row r="13">
      <c r="A13" s="27" t="s">
        <v>10</v>
      </c>
      <c r="B13" s="27" t="s">
        <v>11</v>
      </c>
      <c r="C13" s="27" t="s">
        <v>12</v>
      </c>
      <c r="D13" s="27" t="s">
        <v>13</v>
      </c>
      <c r="E13" s="27" t="s">
        <v>14</v>
      </c>
      <c r="F13" s="27" t="s">
        <v>32</v>
      </c>
      <c r="G13" s="27" t="s">
        <v>16</v>
      </c>
      <c r="H13" s="27" t="s">
        <v>17</v>
      </c>
      <c r="I13" s="27" t="s">
        <v>18</v>
      </c>
      <c r="J13" s="27" t="s">
        <v>19</v>
      </c>
    </row>
    <row r="14">
      <c r="A14" s="19">
        <v>1.0</v>
      </c>
      <c r="B14" s="20" t="s">
        <v>33</v>
      </c>
      <c r="C14" s="19" t="s">
        <v>21</v>
      </c>
      <c r="D14" s="21">
        <f>4/100</f>
        <v>0.04</v>
      </c>
      <c r="E14" s="19" t="s">
        <v>35</v>
      </c>
      <c r="F14" s="19" t="s">
        <v>718</v>
      </c>
      <c r="G14" s="19" t="s">
        <v>38</v>
      </c>
      <c r="H14" s="22">
        <v>25000.0</v>
      </c>
      <c r="I14" s="24"/>
      <c r="J14" s="23">
        <f t="shared" ref="J14:J21" si="2">D14*H14</f>
        <v>1000</v>
      </c>
    </row>
    <row r="15">
      <c r="A15" s="19">
        <v>2.0</v>
      </c>
      <c r="B15" s="20" t="s">
        <v>39</v>
      </c>
      <c r="C15" s="19" t="s">
        <v>21</v>
      </c>
      <c r="D15" s="21">
        <v>0.0</v>
      </c>
      <c r="E15" s="19" t="s">
        <v>40</v>
      </c>
      <c r="F15" s="19" t="s">
        <v>41</v>
      </c>
      <c r="G15" s="19" t="s">
        <v>38</v>
      </c>
      <c r="H15" s="22">
        <v>13000.0</v>
      </c>
      <c r="I15" s="24"/>
      <c r="J15" s="23">
        <f t="shared" si="2"/>
        <v>0</v>
      </c>
    </row>
    <row r="16">
      <c r="A16" s="19">
        <v>3.0</v>
      </c>
      <c r="B16" s="20" t="s">
        <v>42</v>
      </c>
      <c r="C16" s="19" t="s">
        <v>21</v>
      </c>
      <c r="D16" s="21">
        <f>1/100</f>
        <v>0.01</v>
      </c>
      <c r="E16" s="19" t="s">
        <v>43</v>
      </c>
      <c r="F16" s="19" t="s">
        <v>44</v>
      </c>
      <c r="G16" s="19" t="s">
        <v>38</v>
      </c>
      <c r="H16" s="22">
        <v>10000.0</v>
      </c>
      <c r="I16" s="24"/>
      <c r="J16" s="23">
        <f t="shared" si="2"/>
        <v>100</v>
      </c>
    </row>
    <row r="17">
      <c r="A17" s="19">
        <v>4.0</v>
      </c>
      <c r="B17" s="20" t="s">
        <v>45</v>
      </c>
      <c r="C17" s="19" t="s">
        <v>46</v>
      </c>
      <c r="D17" s="21">
        <v>1.0</v>
      </c>
      <c r="E17" s="19" t="s">
        <v>47</v>
      </c>
      <c r="F17" s="19" t="s">
        <v>48</v>
      </c>
      <c r="G17" s="19" t="s">
        <v>49</v>
      </c>
      <c r="H17" s="22">
        <v>370.0</v>
      </c>
      <c r="I17" s="24"/>
      <c r="J17" s="23">
        <f t="shared" si="2"/>
        <v>370</v>
      </c>
    </row>
    <row r="18">
      <c r="A18" s="19">
        <v>5.0</v>
      </c>
      <c r="B18" s="20" t="s">
        <v>50</v>
      </c>
      <c r="C18" s="19" t="s">
        <v>46</v>
      </c>
      <c r="D18" s="21">
        <f>1/10</f>
        <v>0.1</v>
      </c>
      <c r="E18" s="19" t="s">
        <v>47</v>
      </c>
      <c r="F18" s="19" t="s">
        <v>51</v>
      </c>
      <c r="G18" s="19" t="s">
        <v>52</v>
      </c>
      <c r="H18" s="22">
        <v>587.0</v>
      </c>
      <c r="I18" s="24"/>
      <c r="J18" s="23">
        <f t="shared" si="2"/>
        <v>58.7</v>
      </c>
    </row>
    <row r="19">
      <c r="A19" s="19">
        <v>6.0</v>
      </c>
      <c r="B19" s="20" t="s">
        <v>53</v>
      </c>
      <c r="C19" s="19" t="s">
        <v>54</v>
      </c>
      <c r="D19" s="21">
        <f>1/100</f>
        <v>0.01</v>
      </c>
      <c r="E19" s="19" t="s">
        <v>47</v>
      </c>
      <c r="F19" s="19" t="s">
        <v>55</v>
      </c>
      <c r="G19" s="19" t="s">
        <v>56</v>
      </c>
      <c r="H19" s="22">
        <v>5000.0</v>
      </c>
      <c r="I19" s="24"/>
      <c r="J19" s="23">
        <f t="shared" si="2"/>
        <v>50</v>
      </c>
    </row>
    <row r="20">
      <c r="A20" s="19">
        <v>7.0</v>
      </c>
      <c r="B20" s="20" t="s">
        <v>59</v>
      </c>
      <c r="C20" s="19" t="s">
        <v>58</v>
      </c>
      <c r="D20" s="141">
        <v>0.0</v>
      </c>
      <c r="E20" s="19" t="s">
        <v>47</v>
      </c>
      <c r="F20" s="19" t="s">
        <v>60</v>
      </c>
      <c r="G20" s="19" t="s">
        <v>62</v>
      </c>
      <c r="H20" s="22">
        <v>2500.0</v>
      </c>
      <c r="I20" s="24"/>
      <c r="J20" s="23">
        <f t="shared" si="2"/>
        <v>0</v>
      </c>
    </row>
    <row r="21">
      <c r="A21" s="102">
        <v>8.0</v>
      </c>
      <c r="B21" s="142" t="s">
        <v>57</v>
      </c>
      <c r="C21" s="143"/>
      <c r="D21" s="141">
        <v>0.0</v>
      </c>
      <c r="E21" s="143"/>
      <c r="F21" s="143"/>
      <c r="G21" s="143"/>
      <c r="H21" s="143"/>
      <c r="I21" s="143"/>
      <c r="J21" s="23">
        <f t="shared" si="2"/>
        <v>0</v>
      </c>
    </row>
    <row r="22">
      <c r="A22" s="29" t="s">
        <v>63</v>
      </c>
    </row>
    <row r="23">
      <c r="A23" s="31" t="s">
        <v>10</v>
      </c>
      <c r="B23" s="31" t="s">
        <v>64</v>
      </c>
      <c r="C23" s="32"/>
      <c r="D23" s="31" t="s">
        <v>13</v>
      </c>
      <c r="E23" s="31" t="s">
        <v>14</v>
      </c>
      <c r="F23" s="31" t="s">
        <v>32</v>
      </c>
      <c r="G23" s="31" t="s">
        <v>16</v>
      </c>
      <c r="H23" s="31" t="s">
        <v>65</v>
      </c>
      <c r="I23" s="32"/>
      <c r="J23" s="31" t="s">
        <v>19</v>
      </c>
    </row>
    <row r="24">
      <c r="A24" s="19">
        <v>1.0</v>
      </c>
      <c r="B24" s="19" t="s">
        <v>66</v>
      </c>
      <c r="C24" s="33"/>
      <c r="D24" s="34">
        <v>1.0</v>
      </c>
      <c r="E24" s="19" t="s">
        <v>47</v>
      </c>
      <c r="F24" s="33"/>
      <c r="G24" s="19" t="s">
        <v>68</v>
      </c>
      <c r="H24" s="22">
        <v>750.0</v>
      </c>
      <c r="I24" s="33"/>
      <c r="J24" s="23">
        <f t="shared" ref="J24:J27" si="3">D24*H24</f>
        <v>750</v>
      </c>
    </row>
    <row r="25">
      <c r="A25" s="19">
        <v>2.0</v>
      </c>
      <c r="B25" s="19" t="s">
        <v>69</v>
      </c>
      <c r="C25" s="33"/>
      <c r="D25" s="34">
        <v>1.0</v>
      </c>
      <c r="E25" s="19" t="s">
        <v>47</v>
      </c>
      <c r="F25" s="33"/>
      <c r="G25" s="19" t="s">
        <v>68</v>
      </c>
      <c r="H25" s="22">
        <v>2000.0</v>
      </c>
      <c r="I25" s="33"/>
      <c r="J25" s="23">
        <f t="shared" si="3"/>
        <v>2000</v>
      </c>
    </row>
    <row r="26">
      <c r="A26" s="19">
        <v>3.0</v>
      </c>
      <c r="B26" s="19" t="s">
        <v>71</v>
      </c>
      <c r="C26" s="33"/>
      <c r="D26" s="34">
        <v>1.0</v>
      </c>
      <c r="E26" s="19" t="s">
        <v>47</v>
      </c>
      <c r="F26" s="33"/>
      <c r="G26" s="19" t="s">
        <v>68</v>
      </c>
      <c r="H26" s="22">
        <v>2500.0</v>
      </c>
      <c r="I26" s="33"/>
      <c r="J26" s="23">
        <f t="shared" si="3"/>
        <v>2500</v>
      </c>
    </row>
    <row r="27">
      <c r="A27" s="19">
        <v>4.0</v>
      </c>
      <c r="B27" s="19" t="s">
        <v>72</v>
      </c>
      <c r="C27" s="33"/>
      <c r="D27" s="34">
        <v>1.0</v>
      </c>
      <c r="E27" s="19" t="s">
        <v>47</v>
      </c>
      <c r="F27" s="35"/>
      <c r="G27" s="19" t="s">
        <v>68</v>
      </c>
      <c r="H27" s="22">
        <v>2000.0</v>
      </c>
      <c r="I27" s="33"/>
      <c r="J27" s="23">
        <f t="shared" si="3"/>
        <v>2000</v>
      </c>
    </row>
  </sheetData>
  <mergeCells count="8">
    <mergeCell ref="C2:D2"/>
    <mergeCell ref="C3:D3"/>
    <mergeCell ref="C4:D4"/>
    <mergeCell ref="C5:D5"/>
    <mergeCell ref="C6:D6"/>
    <mergeCell ref="A8:I8"/>
    <mergeCell ref="A12:I12"/>
    <mergeCell ref="A22:J22"/>
  </mergeCell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